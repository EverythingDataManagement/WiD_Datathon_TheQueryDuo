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gaby/Downloads/QueryQueens_GitHub_FINAL/docs/"/>
    </mc:Choice>
  </mc:AlternateContent>
  <xr:revisionPtr revIDLastSave="0" documentId="13_ncr:1_{8B89F166-9BEA-FA4C-9297-16B0279EDCA5}" xr6:coauthVersionLast="47" xr6:coauthVersionMax="47" xr10:uidLastSave="{00000000-0000-0000-0000-000000000000}"/>
  <bookViews>
    <workbookView xWindow="22120" yWindow="760" windowWidth="12440" windowHeight="20280" firstSheet="17" activeTab="18" xr2:uid="{00000000-000D-0000-FFFF-FFFF00000000}"/>
  </bookViews>
  <sheets>
    <sheet name="1. Project" sheetId="31" r:id="rId1"/>
    <sheet name="1.1_ Summary" sheetId="1" r:id="rId2"/>
    <sheet name="2. Data" sheetId="5" r:id="rId3"/>
    <sheet name="2.1_CropSelection" sheetId="33" r:id="rId4"/>
    <sheet name="2.2_Metadata_DQ" sheetId="30" r:id="rId5"/>
    <sheet name="3. Analysis" sheetId="39" r:id="rId6"/>
    <sheet name="3.1_ Analysis_Steps" sheetId="16" r:id="rId7"/>
    <sheet name="3.2_Q&amp;A" sheetId="29" r:id="rId8"/>
    <sheet name="Top 10 producers (3-yr)" sheetId="47" r:id="rId9"/>
    <sheet name="3.3_Resilience Analysis" sheetId="34" r:id="rId10"/>
    <sheet name="3.4_ Predictive Fragility Index" sheetId="35" r:id="rId11"/>
    <sheet name="3.5_Sources" sheetId="40" r:id="rId12"/>
    <sheet name="4. Production Checklist" sheetId="46" r:id="rId13"/>
    <sheet name="4.1_ Personas" sheetId="42" r:id="rId14"/>
    <sheet name="4.2_Elevator Pitches" sheetId="43" r:id="rId15"/>
    <sheet name="4.3_Visuals to Build" sheetId="44" r:id="rId16"/>
    <sheet name="4.4_PPT Breakdown" sheetId="38" r:id="rId17"/>
    <sheet name="Full tables (3yr) (2)" sheetId="48" r:id="rId18"/>
    <sheet name="4.5_Video Plan" sheetId="37" r:id="rId19"/>
    <sheet name="4.5_GitHub Setup" sheetId="45" r:id="rId20"/>
    <sheet name="4.6_Judging" sheetId="8" r:id="rId21"/>
    <sheet name="FINAL_AUDIT" sheetId="49" r:id="rId22"/>
    <sheet name="FINAL_CLAIMS" sheetId="50"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6" i="35" l="1"/>
  <c r="D162" i="47"/>
  <c r="E161" i="47"/>
  <c r="C161" i="47"/>
  <c r="D161" i="47" s="1"/>
  <c r="C160" i="47"/>
  <c r="E159" i="47"/>
  <c r="D159" i="47"/>
  <c r="E158" i="47"/>
  <c r="D158" i="47"/>
  <c r="E157" i="47"/>
  <c r="D157" i="47"/>
  <c r="E156" i="47"/>
  <c r="D156" i="47"/>
  <c r="E155" i="47"/>
  <c r="D155" i="47"/>
  <c r="E154" i="47"/>
  <c r="D154" i="47"/>
  <c r="E153" i="47"/>
  <c r="D153" i="47"/>
  <c r="D160" i="47" s="1"/>
  <c r="E152" i="47"/>
  <c r="D152" i="47"/>
  <c r="E151" i="47"/>
  <c r="D151" i="47"/>
  <c r="E150" i="47"/>
  <c r="D150" i="47"/>
  <c r="D146" i="47"/>
  <c r="E145" i="47"/>
  <c r="D145" i="47"/>
  <c r="C145" i="47"/>
  <c r="C144" i="47"/>
  <c r="E143" i="47"/>
  <c r="D143" i="47"/>
  <c r="E142" i="47"/>
  <c r="D142" i="47"/>
  <c r="E141" i="47"/>
  <c r="D141" i="47"/>
  <c r="E140" i="47"/>
  <c r="D140" i="47"/>
  <c r="E139" i="47"/>
  <c r="D139" i="47"/>
  <c r="E138" i="47"/>
  <c r="D138" i="47"/>
  <c r="E137" i="47"/>
  <c r="D137" i="47"/>
  <c r="E136" i="47"/>
  <c r="D136" i="47"/>
  <c r="D144" i="47" s="1"/>
  <c r="E135" i="47"/>
  <c r="D135" i="47"/>
  <c r="E134" i="47"/>
  <c r="D134" i="47"/>
  <c r="D130" i="47"/>
  <c r="E129" i="47"/>
  <c r="C129" i="47"/>
  <c r="D129" i="47" s="1"/>
  <c r="C128" i="47"/>
  <c r="E127" i="47"/>
  <c r="D127" i="47"/>
  <c r="E126" i="47"/>
  <c r="D126" i="47"/>
  <c r="E125" i="47"/>
  <c r="D125" i="47"/>
  <c r="E124" i="47"/>
  <c r="D124" i="47"/>
  <c r="E123" i="47"/>
  <c r="D123" i="47"/>
  <c r="E122" i="47"/>
  <c r="D122" i="47"/>
  <c r="E121" i="47"/>
  <c r="D121" i="47"/>
  <c r="E120" i="47"/>
  <c r="D120" i="47"/>
  <c r="E119" i="47"/>
  <c r="D119" i="47"/>
  <c r="D128" i="47" s="1"/>
  <c r="E118" i="47"/>
  <c r="D118" i="47"/>
  <c r="D114" i="47"/>
  <c r="E113" i="47"/>
  <c r="C113" i="47"/>
  <c r="D113" i="47" s="1"/>
  <c r="C112" i="47"/>
  <c r="E111" i="47"/>
  <c r="D111" i="47"/>
  <c r="E110" i="47"/>
  <c r="D110" i="47"/>
  <c r="E109" i="47"/>
  <c r="D109" i="47"/>
  <c r="E108" i="47"/>
  <c r="D108" i="47"/>
  <c r="E107" i="47"/>
  <c r="D107" i="47"/>
  <c r="E106" i="47"/>
  <c r="D106" i="47"/>
  <c r="E105" i="47"/>
  <c r="D105" i="47"/>
  <c r="E104" i="47"/>
  <c r="D104" i="47"/>
  <c r="E103" i="47"/>
  <c r="D103" i="47"/>
  <c r="E102" i="47"/>
  <c r="D102" i="47"/>
  <c r="D112" i="47" s="1"/>
  <c r="D98" i="47"/>
  <c r="E97" i="47"/>
  <c r="C97" i="47"/>
  <c r="D97" i="47" s="1"/>
  <c r="C96" i="47"/>
  <c r="E95" i="47"/>
  <c r="D95" i="47"/>
  <c r="E94" i="47"/>
  <c r="D94" i="47"/>
  <c r="E93" i="47"/>
  <c r="D93" i="47"/>
  <c r="E92" i="47"/>
  <c r="D92" i="47"/>
  <c r="E91" i="47"/>
  <c r="D91" i="47"/>
  <c r="E90" i="47"/>
  <c r="D90" i="47"/>
  <c r="E89" i="47"/>
  <c r="D89" i="47"/>
  <c r="E88" i="47"/>
  <c r="D88" i="47"/>
  <c r="E87" i="47"/>
  <c r="D87" i="47"/>
  <c r="E86" i="47"/>
  <c r="D86" i="47"/>
  <c r="D96" i="47" s="1"/>
  <c r="D82" i="47"/>
  <c r="E81" i="47"/>
  <c r="C81" i="47"/>
  <c r="D81" i="47" s="1"/>
  <c r="C80" i="47"/>
  <c r="E79" i="47"/>
  <c r="D79" i="47"/>
  <c r="E78" i="47"/>
  <c r="D78" i="47"/>
  <c r="E77" i="47"/>
  <c r="D77" i="47"/>
  <c r="E76" i="47"/>
  <c r="D76" i="47"/>
  <c r="E75" i="47"/>
  <c r="D75" i="47"/>
  <c r="E74" i="47"/>
  <c r="D74" i="47"/>
  <c r="E73" i="47"/>
  <c r="D73" i="47"/>
  <c r="E72" i="47"/>
  <c r="D72" i="47"/>
  <c r="E71" i="47"/>
  <c r="D71" i="47"/>
  <c r="E70" i="47"/>
  <c r="D70" i="47"/>
  <c r="D80" i="47" s="1"/>
  <c r="D66" i="47"/>
  <c r="E65" i="47"/>
  <c r="C65" i="47"/>
  <c r="D65" i="47" s="1"/>
  <c r="C64" i="47"/>
  <c r="E63" i="47"/>
  <c r="D63" i="47"/>
  <c r="E62" i="47"/>
  <c r="D62" i="47"/>
  <c r="E61" i="47"/>
  <c r="D61" i="47"/>
  <c r="E60" i="47"/>
  <c r="D60" i="47"/>
  <c r="E59" i="47"/>
  <c r="D59" i="47"/>
  <c r="E58" i="47"/>
  <c r="D58" i="47"/>
  <c r="E57" i="47"/>
  <c r="D57" i="47"/>
  <c r="E56" i="47"/>
  <c r="D56" i="47"/>
  <c r="E55" i="47"/>
  <c r="D55" i="47"/>
  <c r="E54" i="47"/>
  <c r="D54" i="47"/>
  <c r="D64" i="47" s="1"/>
  <c r="D50" i="47"/>
  <c r="E49" i="47"/>
  <c r="D49" i="47"/>
  <c r="C49" i="47"/>
  <c r="C48" i="47"/>
  <c r="E47" i="47"/>
  <c r="D47" i="47"/>
  <c r="E46" i="47"/>
  <c r="D46" i="47"/>
  <c r="E45" i="47"/>
  <c r="D45" i="47"/>
  <c r="E44" i="47"/>
  <c r="D44" i="47"/>
  <c r="E43" i="47"/>
  <c r="D43" i="47"/>
  <c r="E42" i="47"/>
  <c r="D42" i="47"/>
  <c r="E41" i="47"/>
  <c r="D41" i="47"/>
  <c r="D48" i="47" s="1"/>
  <c r="E40" i="47"/>
  <c r="D40" i="47"/>
  <c r="E39" i="47"/>
  <c r="D39" i="47"/>
  <c r="E38" i="47"/>
  <c r="D38" i="47"/>
  <c r="D34" i="47"/>
  <c r="E33" i="47"/>
  <c r="C33" i="47"/>
  <c r="D33" i="47" s="1"/>
  <c r="C32" i="47"/>
  <c r="E31" i="47"/>
  <c r="D31" i="47"/>
  <c r="E30" i="47"/>
  <c r="D30" i="47"/>
  <c r="E29" i="47"/>
  <c r="D29" i="47"/>
  <c r="E28" i="47"/>
  <c r="D28" i="47"/>
  <c r="E27" i="47"/>
  <c r="D27" i="47"/>
  <c r="E26" i="47"/>
  <c r="D26" i="47"/>
  <c r="E25" i="47"/>
  <c r="D25" i="47"/>
  <c r="E24" i="47"/>
  <c r="D24" i="47"/>
  <c r="D32" i="47" s="1"/>
  <c r="E23" i="47"/>
  <c r="D23" i="47"/>
  <c r="E22" i="47"/>
  <c r="D22" i="47"/>
  <c r="D18" i="47"/>
  <c r="E17" i="47"/>
  <c r="C17" i="47"/>
  <c r="D17" i="47" s="1"/>
  <c r="C16" i="47"/>
  <c r="E15" i="47"/>
  <c r="D15" i="47"/>
  <c r="E14" i="47"/>
  <c r="D14" i="47"/>
  <c r="E13" i="47"/>
  <c r="D13" i="47"/>
  <c r="E12" i="47"/>
  <c r="D12" i="47"/>
  <c r="E11" i="47"/>
  <c r="D11" i="47"/>
  <c r="E10" i="47"/>
  <c r="D10" i="47"/>
  <c r="E9" i="47"/>
  <c r="D9" i="47"/>
  <c r="E8" i="47"/>
  <c r="D8" i="47"/>
  <c r="E7" i="47"/>
  <c r="D7" i="47"/>
  <c r="D16" i="47" s="1"/>
  <c r="E6" i="47"/>
  <c r="D6" i="47"/>
</calcChain>
</file>

<file path=xl/sharedStrings.xml><?xml version="1.0" encoding="utf-8"?>
<sst xmlns="http://schemas.openxmlformats.org/spreadsheetml/2006/main" count="2132" uniqueCount="1386">
  <si>
    <t>THE STORY OF THIS PROJECT — a full write-up to catch anyone up</t>
  </si>
  <si>
    <t>Where we started, and the false start we had to abandon</t>
  </si>
  <si>
    <t>We entered the Women in Data 2026 datathon on the GROW track, working the production side of the food system with FAOSTAT data, 2000-2023. First decision: scope. 
From the full production table we selected the ten individual PRIMARY crops - excluding FAOSTAT aggregate categories (Cereals primary, Roots &amp; Tubers Total, which double-count) and all livestock - that dominate global production and supply most of the world's dietary calories. They span four staple families: cereals (maize, rice, wheat, sorghum, millet, barley), roots &amp; tubers (potatoes, cassava), the leading oilseed (soybeans), and the leading sugar crop (sugarcane). 
Caveats we carry: sugarcane earns its place as a production/land-use commodity, not a dietary staple (mostly sugar and ethanol); and oil palm - the world's top deforestation crop - was left out as a non-food oil crop, making it the natural first extension. 
With scope fixed, our first analytical idea was a WATER story: that the world grows its food where water is scarce. We built a master joining production to water stress (SDG 6.4.2) and it wasn't there - water stress barely correlated with agricultural use (r~0.09) and the big producers were mostly LOW stress, so water could never carry a food-supply headline. We confirmed the weakness in profiling and pivoted. Water was demoted from the spine to, at most, a cost detail.</t>
  </si>
  <si>
    <t>The pivot: from water to how the world actually grew its food</t>
  </si>
  <si>
    <r>
      <t xml:space="preserve">We asked a stronger, provable question: </t>
    </r>
    <r>
      <rPr>
        <b/>
        <i/>
        <sz val="10"/>
        <color rgb="FF000000"/>
        <rFont val="Arial"/>
        <family val="2"/>
      </rPr>
      <t xml:space="preserve">since 2000 the world grew ~59% more staple food (but only +21% per person once you account for 30% population growth) - HOW, and at what cost? </t>
    </r>
    <r>
      <rPr>
        <sz val="10"/>
        <color rgb="FF000000"/>
        <rFont val="Arial"/>
        <family val="2"/>
      </rPr>
      <t xml:space="preserve">
Two ways exist: farm more land, or raise yield. Using Production = Area x Yield we decomposed every country-crop's growth into an area effect and a yield effect. 
The split was clean and geographic: the Americas' frontier (Brazil soy +225% area, China maize) grew by CLEARING LAND; the established breadbaskets (US, India, Russia) grew by RAISING YIELD, sometimes on less land. This two-path split became the spine, because each path implies a different hidden cost.</t>
    </r>
  </si>
  <si>
    <t>Concentration - and a subtlety we had to resolve</t>
  </si>
  <si>
    <t>A few countries drove the growth: top-10 delivered ~79% of it, Brazil alone ~28% (on all 10 staples). But 'top' means three different things - top by GROWTH, by total VOLUME, and by volume PER CROP - and they diverge. 
Our 79% figure is on all ten staples INCLUDING sugarcane (why Brazil leads); the area-vs-yield work uses fewer crops without sugarcane (where China leads). Both are right, but the crop basis must be stated every time. 
This also told us that for crop-specific questions like resilience we must use each crop's TRUE top producers by volume - our fixed 10 capture 92% of world soybeans but only 61% of rice.</t>
  </si>
  <si>
    <t>The cost of each path — the analytical core</t>
  </si>
  <si>
    <t>Resilience - the payoff</t>
  </si>
  <si>
    <t>We tried trade, and deliberately kept the producer framing</t>
  </si>
  <si>
    <t>We brought in the FAOSTAT Detailed Trade Matrix to name WHICH importers are exposed. It works cleanly for crops whose top PRODUCER is also a big EXPORTER - rice is dramatic (Benin, Angola, Cameroon depend on India for ~65% of their rice, and rice can't be backfilled). 
But it breaks for crops like wheat, where the top producer (China) consumes domestically and barely exports. Rather than fracture a producer-based story by switching to exporters, we kept trade as a supporting illustration (rice and soybeans) and stayed on producers throughout.</t>
  </si>
  <si>
    <t>The finale - a forward-looking fragility model</t>
  </si>
  <si>
    <t>We strengthened resilience into something predictive AND prescriptive, without an unexplainable forecast. 
(1) PARTIAL shocks: at a realistic -35% loss (smaller than Argentina's real -43%), rice, maize and sugarcane already can't be covered. 
(2) HISTORICAL validation: shocks of that size have actually happened. 
(3) A STAPLE FRAGILITY INDEX combining Exposure (concentration) x Hazard (the top producer's volatility) x Buffer (how thin the backfill is), with buffer as a GATE so a coverable crop is never mislabelled. It ranks Sugarcane, Maize, Rice and Soybeans as High risk - and validates itself by flagging exactly the crops that fail a real -35% shock. 
The same model PRESCRIBES the fix: the countries with the most latent capacity to reinforce each fragile crop (e.g. Indonesia/Myanmar for rice, Argentina for soy). Every input is measured, so the index is transparent and defensible - stronger than a black-box forecast.</t>
  </si>
  <si>
    <t>Two honesty checks that shaped the final claims</t>
  </si>
  <si>
    <t>First, per-capita: +58% output is only +21% per person - we state this so the growth number is honest. 
Second, we tested whether fragility is WORSENING over time and found it is NOT a blanket trend - top-producer share rose for sugarcane (Brazil 26%-&gt;39%) but FELL for maize, soy and rice as they diversified. So we say 'high everywhere now, worsening for sugarcane', not 'the world is getting more fragile'. Checking this saved us from an over-claim.</t>
  </si>
  <si>
    <t>Where we are, and what's left</t>
  </si>
  <si>
    <t xml:space="preserve">
DONE and reproducible from one clean master: 
- crop selection &amp; justification; 
- the deterministic master build with a DMBOK DQ scorecard; 
- area-vs-yield decomposition; 
- concentration with the crop-basis reconciliation; 
- forest and fertilizer cost (verified in Python); 
- resilience; the Argentina anchor; 
- per-capita reframe; 
- the fragility-index finale with its prescription; and 
- an evidence workbook mapping every claim to the tab that proves it. 
FRAMING: the 7-minute video opens and closes on resilience/fragility, travelling growth -&gt; concentration -&gt; cost between; the persona (a sourcing manager) maps to the fragility finding. 
LEFT: 
- build the closing visuals (fragility-index bar, cropland-vs-forest scatter, area-vs-yield matrix) and 
- the interactive map; record and rehearse. 
The analysis is complete and defensible; what remains is visuals and assembly.</t>
  </si>
  <si>
    <t>QUERY QUEENS  ·  WiD Datathon 2026  ·  What's Cooking</t>
  </si>
  <si>
    <t>Frame: RESILIENCE / FRAGILITY (open + close). Spine: GROWTH -&gt; CONCENTRATION -&gt; COST. Finale: a Staple Fragility Index that predicts risk and prescribes the fix.</t>
  </si>
  <si>
    <t>TRACK</t>
  </si>
  <si>
    <t>GROW. The production side: how the world grew its staple food since 2000, at what cost, and how fragile that leaves supply. Headline numbers in tonnes of food or share of world supply.</t>
  </si>
  <si>
    <t>STORY / HOOK</t>
  </si>
  <si>
    <t>CORE QUESTION</t>
  </si>
  <si>
    <t>How did the world grow its staple supply (+58%, but +21% per person), what did each growth path cost, and how fragile does that concentration leave the system?</t>
  </si>
  <si>
    <t>RESEARCH QUESTIONS</t>
  </si>
  <si>
    <t>- Growth: land expansion vs yield improvement, per leader?
- Concentration: how much growth came from a few countries?
- Cost: land-expanders where forest is lost; intensifiers where inputs are high?
- Resilience: if a top producer fails, is there demonstrated capacity elsewhere?
- Fragility (finale): which crops are most at risk, and where to reinforce them?</t>
  </si>
  <si>
    <t>WHAT WE FOUND</t>
  </si>
  <si>
    <t>WHY IT MATTERS</t>
  </si>
  <si>
    <t>Supply-chain risk teams track price and yield, not structural fragility. 
A crop whose top producer is irreplaceable is a contract risk years before the news - Argentina 2023 is the live example. Deforestation and inputs are the hidden costs behind the food they buy.</t>
  </si>
  <si>
    <t>METHOD</t>
  </si>
  <si>
    <t>- Rebuild one clean master deterministically (195 countries, DMBOK DQ scorecard) -&gt;
- Decompose growth into area vs yield; reframe per capita -&gt;
- Cost: national cropland-vs-forest (RL) + fertilizer intensity (RFN), crop-attributed by inference -&gt;
- Resilience: knock out each #1 producer; test demonstrated-peak backfill; anchor to Argentina 2023 -&gt;
- Fragility Index: Exposure x Hazard x Buffer -&gt; ranked risk + reinforcement prescription. Validate; state limits.</t>
  </si>
  <si>
    <t>SCOPE &amp; LIMITS</t>
  </si>
  <si>
    <t>10 staple crops, all countries, 2000-2023 (land to 2024). Resilience/fragility are TONNAGE-based structural risk (not safe-to-export, not shock-cause or ramp-speed). Water excluded (national scale). Forest crop-attribution inferred. Trade kept as illustration (producer=exporter crops only).</t>
  </si>
  <si>
    <t>AUDIENCE</t>
  </si>
  <si>
    <t>Primary: supply-chain risk teams at large food buyers (persona: a sourcing manager). Secondary: food-security agencies, FAO.</t>
  </si>
  <si>
    <t>DELIVERABLES</t>
  </si>
  <si>
    <t>7-min video (fragility-framed), interactive map, the growth-path + resilience + fragility-index dataset, public GitHub repo.</t>
  </si>
  <si>
    <t>DATA SOURCES AND SCOPE</t>
  </si>
  <si>
    <t>All core sources are FAO. Spine = production (QCL). Costs = Land Use (forest) + Fertilizers. Water was TESTED and dropped (stated as a limitation, not a computed cost). Trade kept as an illustration only. One clean master is rebuilt deterministically by a script (195 countries) with a DMBOK data-quality scorecard.</t>
  </si>
  <si>
    <t>1  ·  DATA SOURCES</t>
  </si>
  <si>
    <t>#</t>
  </si>
  <si>
    <t>Dataset</t>
  </si>
  <si>
    <t>Source / status</t>
  </si>
  <si>
    <t>Role in the project</t>
  </si>
  <si>
    <t>Access</t>
  </si>
  <si>
    <t>Link</t>
  </si>
  <si>
    <t>Join keys</t>
  </si>
  <si>
    <t>Key notes &amp; cleansing</t>
  </si>
  <si>
    <t>1</t>
  </si>
  <si>
    <t>Production: Crops &amp; Livestock (FAOSTAT QCL)</t>
  </si>
  <si>
    <t>FAO · SPINE</t>
  </si>
  <si>
    <t>THE SPINE. Area, yield, production per crop x country x year — the whole growth, concentration and resilience story is built on this.</t>
  </si>
  <si>
    <t>Free</t>
  </si>
  <si>
    <t>fao.org/faostat/en/#data/QCL</t>
  </si>
  <si>
    <t>Area, Item, Year</t>
  </si>
  <si>
    <t>Remove aggregates &amp; duplicate/former units. Keep the 10 crops by exact item name. Rebuilt deterministically by build_master.py.</t>
  </si>
  <si>
    <t>2</t>
  </si>
  <si>
    <t>Master (clean, rebuilt)</t>
  </si>
  <si>
    <t>Built · HAVE</t>
  </si>
  <si>
    <t>One tidy table, country x crop x year (~28,400 rows, 195 countries, 2000-2024). Everything reads from this. DMBOK DQ score ~99.6%.</t>
  </si>
  <si>
    <t>Project</t>
  </si>
  <si>
    <t>—</t>
  </si>
  <si>
    <t>Country, Crop, Year</t>
  </si>
  <si>
    <t>No hand-edits — regenerate from the script. Continent/Subregion, Flag, _DQ, Staple flag, rankings all derived.</t>
  </si>
  <si>
    <t>3</t>
  </si>
  <si>
    <t>FAOSTAT Land Use (RL)</t>
  </si>
  <si>
    <t>FAO · LAND COST</t>
  </si>
  <si>
    <t>LAND-PATH COST. National cropland vs forest-land change — the deforestation cost of the land-expansion path (Brazil #1 forest loser).</t>
  </si>
  <si>
    <t>fao.org/faostat/en/#data/RL</t>
  </si>
  <si>
    <t>Area, Year</t>
  </si>
  <si>
    <t>Wide file: header on row 2, years as Y2000... columns. Use latest FULL year (2024). Latest forest figures are imputed — note it.</t>
  </si>
  <si>
    <t>4</t>
  </si>
  <si>
    <t>FAOSTAT Fertilizers by Nutrient (RFN)</t>
  </si>
  <si>
    <t>FAO · YIELD COST</t>
  </si>
  <si>
    <t>YIELD-PATH COST. N+P+K intensity per ha of cropland — the input cost of the yield-intensification path.</t>
  </si>
  <si>
    <t>fao.org/faostat/en/#data/RFN</t>
  </si>
  <si>
    <t>Match nutrients + 'per area of cropland' by name. Header on row 2 in the reviewed file.</t>
  </si>
  <si>
    <t>5</t>
  </si>
  <si>
    <t>FAOSTAT Detailed Trade Matrix</t>
  </si>
  <si>
    <t>FAO · ILLUSTRATION</t>
  </si>
  <si>
    <t>Bilateral imports — used only to NAME exposed importers for producer=exporter crops (rice, soy). Kept as illustration; project stays producer-framed.</t>
  </si>
  <si>
    <t>fao.org/faostat/en/#data/TM</t>
  </si>
  <si>
    <t>Reporter, Partner, Year</t>
  </si>
  <si>
    <t>Huge wide file. Use one primary traded item per crop (rice = milled). Breaks for producer≠exporter crops (wheat) — do not force it.</t>
  </si>
  <si>
    <t>Resilience / Fragility layer</t>
  </si>
  <si>
    <t>NO new dataset — production only (demonstrated peak vs current). Powers resilience + the Staple Fragility Index finale.</t>
  </si>
  <si>
    <t>resilience.py, build_fragility_index.py. Tonnage-based structural risk.</t>
  </si>
  <si>
    <t>X</t>
  </si>
  <si>
    <t>Water stress / SDG 6.4.2 + AQUASTAT</t>
  </si>
  <si>
    <t>DROPPED</t>
  </si>
  <si>
    <t>Tested as a cost layer; national scale did NOT discriminate among producers (big producers mostly low-stress). Stated as a LIMITATION.</t>
  </si>
  <si>
    <t>fao.org/faostat + AQUASTAT</t>
  </si>
  <si>
    <t>Sub-national WRI Aqueduct is the right next tool — future extension.</t>
  </si>
  <si>
    <t>FAO FRA / Food Balance Sheets</t>
  </si>
  <si>
    <t>FRA (sharper forest) and FBS (safe-to-export resilience) not used. RL alone carries the forest cost; resilience is tonnage-only.</t>
  </si>
  <si>
    <t>FBS is the natural stretch for a 'safe-to-export' resilience version.</t>
  </si>
  <si>
    <t>2  ·  SCOPE WE LOCK BEFORE ANY WORK STARTS</t>
  </si>
  <si>
    <t>Decision</t>
  </si>
  <si>
    <t>What we choose</t>
  </si>
  <si>
    <t>Why</t>
  </si>
  <si>
    <t>Unit of analysis</t>
  </si>
  <si>
    <t>Production by crop, country, year — and its GROWTH 2000-&gt;2023, split into area vs yield.</t>
  </si>
  <si>
    <t>The area-vs-yield split of each producer's growth is the grain the whole project is built on.</t>
  </si>
  <si>
    <t>Study period</t>
  </si>
  <si>
    <t>2000 - 2023</t>
  </si>
  <si>
    <t>Decomposition endpoints are 2000 and 2023. Production runs to 2024 but 2024 isn't consistent across all producers, and cost layers align best at 2023. Land use uses its latest full year (2024).</t>
  </si>
  <si>
    <t>Crops (10)</t>
  </si>
  <si>
    <t>Ten primary staple crops, four families: Dominant production + calorie importance; exclude aggregates &amp; livestock. 'Primary' = the calorie-core cut used for some views; 'Secondary' = kept for completeness / land-use (sugarcane) / regional food security (millet, sorghum).</t>
  </si>
  <si>
    <t>Maize</t>
  </si>
  <si>
    <t>Primary scope</t>
  </si>
  <si>
    <t>Rice</t>
  </si>
  <si>
    <t>Wheat</t>
  </si>
  <si>
    <t>Soybeans</t>
  </si>
  <si>
    <t>Potatoes</t>
  </si>
  <si>
    <t>Sorghum</t>
  </si>
  <si>
    <t>Barley</t>
  </si>
  <si>
    <t>Secondary scope</t>
  </si>
  <si>
    <t>Cassava</t>
  </si>
  <si>
    <t>Millet</t>
  </si>
  <si>
    <t>Sugarcane</t>
  </si>
  <si>
    <t>Countries (analysis panel)</t>
  </si>
  <si>
    <t>Ten producers, tiered by share of world staple-output GROWTH. Top-3 = ~58% of growth (Brazil, India, China), top-5 = ~68%, top-10 = ~79% (all 10 staples incl. sugarcane). Note: these are top by GROWTH, not by per-crop volume — resilience uses each crop's true top producers.</t>
  </si>
  <si>
    <t>Brazil</t>
  </si>
  <si>
    <t>Top 3</t>
  </si>
  <si>
    <t>India</t>
  </si>
  <si>
    <t>China, mainland</t>
  </si>
  <si>
    <t>United States of America</t>
  </si>
  <si>
    <t>Top 5</t>
  </si>
  <si>
    <t>Pakistan</t>
  </si>
  <si>
    <t>Russian Federation</t>
  </si>
  <si>
    <t>Top 10</t>
  </si>
  <si>
    <t>Thailand</t>
  </si>
  <si>
    <t>Ukraine</t>
  </si>
  <si>
    <t>Nigeria</t>
  </si>
  <si>
    <t>Argentina</t>
  </si>
  <si>
    <t>3  ·  JOIN STRATEGY</t>
  </si>
  <si>
    <t>Spine + cost layers</t>
  </si>
  <si>
    <t>Production (QCL) is the spine. Join the national cost layers on Country + Year: Land Use (RL) for the land path, Fertilizers (RFN) for the yield path. Both are country-level, so crop attribution is INFERRED from the production decomposition, not measured.</t>
  </si>
  <si>
    <t>Country matching</t>
  </si>
  <si>
    <t>Match on country + year. FAO name variants ('Iran (Islamic Republic of)', 'United States of America'). Resolve aggregates and duplicate/former units (China aggregate, Serbia and Montenegro, Sudan former) in the master build, once, centrally.</t>
  </si>
  <si>
    <t>Time alignment</t>
  </si>
  <si>
    <t>Land use runs to a later year (2024) than the production endpoint (2023); the join keeps each year's real value and the windows are stated. No silent carry-forward.</t>
  </si>
  <si>
    <t>4  ·  METRICS WE COMPUTE</t>
  </si>
  <si>
    <t>Metric</t>
  </si>
  <si>
    <t>Formula</t>
  </si>
  <si>
    <t>What it means / column</t>
  </si>
  <si>
    <t>Global Production Share</t>
  </si>
  <si>
    <t>Country production ÷ World production × 100 (per crop-year)</t>
  </si>
  <si>
    <t>Food importance — who the world depends on.  -&gt; world_production_share_pct</t>
  </si>
  <si>
    <t>Growth Contribution</t>
  </si>
  <si>
    <t>Country ΔProd(2000→2023) ÷ World ΔProd × 100</t>
  </si>
  <si>
    <t>Concentration of growth (top-10 = 79%).  -&gt; growth_contribution_pct</t>
  </si>
  <si>
    <t>Area &amp; Yield effects  ← engine</t>
  </si>
  <si>
    <t>ΔProd = (A23−A00)·Y00 [area] + (Y23−Y00)·A00 [yield] + interaction</t>
  </si>
  <si>
    <t>Splits growth into land vs yield.  -&gt; area_effect_pct, yield_effect_pct</t>
  </si>
  <si>
    <t>Growth Path (camp)</t>
  </si>
  <si>
    <t>area effect &gt;60% = Land; yield &gt;60% = Yield; else Mixed</t>
  </si>
  <si>
    <t>The named camp classification. Sensitivity at 50% &amp; 70%.  -&gt; growth_path</t>
  </si>
  <si>
    <t>Land cost</t>
  </si>
  <si>
    <t>Cropland change vs forest-land change, 2000-&gt;2024 (national)</t>
  </si>
  <si>
    <t>6</t>
  </si>
  <si>
    <t>Fertilizer cost</t>
  </si>
  <si>
    <t>N + P2O5 + K2O ÷ ha of cropland (kg/ha)</t>
  </si>
  <si>
    <t>7</t>
  </si>
  <si>
    <t>Resilience ratio</t>
  </si>
  <si>
    <t>[Σ other producers of max(peak − current,0)] ÷ #1 producer's output</t>
  </si>
  <si>
    <t>Enough demonstrated tonnage if the #1 fails? &gt;1 coverable.  -&gt; resilience_ratio</t>
  </si>
  <si>
    <t>8</t>
  </si>
  <si>
    <t>Fragility Index (finale)</t>
  </si>
  <si>
    <t>Buffer (gate) × [Exposure , Hazard] → 0-100 risk score</t>
  </si>
  <si>
    <t>Exposure=top share, Hazard=producer volatility, Buffer=resilience ratio. Ranks crops High/Mod/Low + prescribes reinforcing countries.  -&gt; fragility_score</t>
  </si>
  <si>
    <t>5  ·  CLASSIFICATION — TWO GROWTH PATHS + FRAGILITY BANDS</t>
  </si>
  <si>
    <t>Classify each crop/leader by HOW it grew, attach the matching cost, then band each crop by fragility. Keep the two paths separate — collapsing them hides which risk applies.</t>
  </si>
  <si>
    <t>Path</t>
  </si>
  <si>
    <t>How it grew</t>
  </si>
  <si>
    <t>Its cost (measured with)</t>
  </si>
  <si>
    <t>Land expansion</t>
  </si>
  <si>
    <t>Growth mostly from more area (&gt;60% of ΔProd). e.g. Brazil soy, China maize, Nigeria cassava.</t>
  </si>
  <si>
    <t>Deforestation — cropland frontier into forest (FAOSTAT RL).</t>
  </si>
  <si>
    <t>Yield intensification</t>
  </si>
  <si>
    <t>Growth mostly from higher yield (&gt;60% of ΔProd). e.g. Russia wheat, India rice, US maize.</t>
  </si>
  <si>
    <t>Input pressure — fertilizer intensity (FAOSTAT RFN). (Water tested, excluded.)</t>
  </si>
  <si>
    <t>↳ Fragility bands (finale): each crop scored HIGH / MODERATE / LOW by the Fragility Index. Buffer is a GATE — a crop the world can backfill is LOW risk regardless of concentration. HIGH: Sugarcane, Maize, Rice, Soybeans. The index also prescribes the countries best placed to reinforce each fragile crop.</t>
  </si>
  <si>
    <t>6  ·  METADATA DICTIONARY  (key columns; * = computed in the evidence file)</t>
  </si>
  <si>
    <t>Block</t>
  </si>
  <si>
    <t>Status</t>
  </si>
  <si>
    <t>Column</t>
  </si>
  <si>
    <t>Description</t>
  </si>
  <si>
    <t>Units</t>
  </si>
  <si>
    <t>Notes</t>
  </si>
  <si>
    <t>Master keys / dims</t>
  </si>
  <si>
    <t>HAVE</t>
  </si>
  <si>
    <t>Year / Country / Crop / Item</t>
  </si>
  <si>
    <t>Keys of the production panel</t>
  </si>
  <si>
    <t>195 countries, 10 crops, 2000-2024.</t>
  </si>
  <si>
    <t>Continent / Subregion</t>
  </si>
  <si>
    <t>Geography, DERIVED from country</t>
  </si>
  <si>
    <t>name</t>
  </si>
  <si>
    <t>via country_converter.</t>
  </si>
  <si>
    <t>Crop Category / Subcategory / Staple Crop</t>
  </si>
  <si>
    <t>Crop taxonomy + dietary-staple flag</t>
  </si>
  <si>
    <t>name / Yes-No</t>
  </si>
  <si>
    <t>Sugarcane = not a dietary staple.</t>
  </si>
  <si>
    <t>Country Classification / Ranking 1 / Ranking 2</t>
  </si>
  <si>
    <t>Top 3/5/10 + production rank (primary / all-10)</t>
  </si>
  <si>
    <t>class / rank</t>
  </si>
  <si>
    <t>Enrichment for scope tiers.</t>
  </si>
  <si>
    <t>Flag</t>
  </si>
  <si>
    <t>FAOSTAT value flag, DERIVED from YxxxxF</t>
  </si>
  <si>
    <t>code</t>
  </si>
  <si>
    <t>Official / Estimated / Imputed.</t>
  </si>
  <si>
    <t>Measures</t>
  </si>
  <si>
    <t>Area_harvested_ha / Yield_kg_per_ha / Production_tonnes</t>
  </si>
  <si>
    <t>The three production measures</t>
  </si>
  <si>
    <t>ha / kg/ha / tonnes</t>
  </si>
  <si>
    <t>Production ≈ Area × Yield.</t>
  </si>
  <si>
    <t>*_DQ (one per measure)</t>
  </si>
  <si>
    <t>Zero / Blank / value marker</t>
  </si>
  <si>
    <t>flag</t>
  </si>
  <si>
    <t>Data-quality transparency.</t>
  </si>
  <si>
    <t>Growth / paths</t>
  </si>
  <si>
    <t>COMPUTED</t>
  </si>
  <si>
    <t>world_production_share_pct, growth_contribution_pct</t>
  </si>
  <si>
    <t>Food importance; concentration of growth</t>
  </si>
  <si>
    <t>%</t>
  </si>
  <si>
    <t>Metrics 1-2 (evidence file).</t>
  </si>
  <si>
    <t>area_effect_pct, yield_effect_pct, growth_path</t>
  </si>
  <si>
    <t>Decomposition + Land/Yield/Mixed</t>
  </si>
  <si>
    <t>% / cat</t>
  </si>
  <si>
    <t>Metrics 3-4.</t>
  </si>
  <si>
    <t>Cost</t>
  </si>
  <si>
    <t>cropland_change, forest_change</t>
  </si>
  <si>
    <t>National land-cover change</t>
  </si>
  <si>
    <t>1000 ha</t>
  </si>
  <si>
    <t>fertilizer_kg_per_ha</t>
  </si>
  <si>
    <t>N+P+K per ha cropland</t>
  </si>
  <si>
    <t>kg/ha</t>
  </si>
  <si>
    <t>Resilience / fragility</t>
  </si>
  <si>
    <t>backfill_capacity, resilience_ratio, redundancy_count</t>
  </si>
  <si>
    <t>Demonstrated backfill + coverage</t>
  </si>
  <si>
    <t>tonnes / ratio / count</t>
  </si>
  <si>
    <t>fragility_score, risk_band</t>
  </si>
  <si>
    <t>Exposure×Hazard×Buffer → 0-100 + High/Mod/Low</t>
  </si>
  <si>
    <t>score / band</t>
  </si>
  <si>
    <t>The finale index + prescription.</t>
  </si>
  <si>
    <t>Source</t>
  </si>
  <si>
    <t>Detailed Trade Matrix</t>
  </si>
  <si>
    <t>Done</t>
  </si>
  <si>
    <t>Bananas</t>
  </si>
  <si>
    <t>Maize (corn)</t>
  </si>
  <si>
    <t>Tomatoes</t>
  </si>
  <si>
    <t>Dimension</t>
  </si>
  <si>
    <t>WHY THESE 10 CROPS — selection justification &amp; challenge/response</t>
  </si>
  <si>
    <t>Derived from the ORIGINAL all-crops production file (not the master). The rule is data-driven, and the known challenges have prepared answers.</t>
  </si>
  <si>
    <t>THE SELECTION RULE (say this)</t>
  </si>
  <si>
    <t>We selected the individual PRIMARY crops — excluding FAOSTAT aggregate categories (Cereals primary, Roots &amp; Tubers Total, etc.) and all livestock items (eggs, milk, meat) — that dominate global production AND supply the majority of the world's dietary calories. 
They span the four staple families: CEREALS (maize, rice, wheat, sorghum, millet, barley), ROOTS &amp; TUBERS (potatoes, cassava), OILSEEDS (soybeans), and SUGAR (sugarcane). Together the world's ~10 staples provide roughly 90% of human dietary energy — so this set represents the food the world actually depends on, which is exactly what a food-supply resilience question needs.</t>
  </si>
  <si>
    <t>THE EVIDENCE — world production 2023, real crops only (aggregates &amp; livestock removed)</t>
  </si>
  <si>
    <t>Rank</t>
  </si>
  <si>
    <t>Crop item</t>
  </si>
  <si>
    <t>World 2023 (Mt)</t>
  </si>
  <si>
    <t>In our 10?</t>
  </si>
  <si>
    <t>Sugar cane</t>
  </si>
  <si>
    <t>YES</t>
  </si>
  <si>
    <t>Other vegetables, fresh n.e.c.</t>
  </si>
  <si>
    <t>Oil palm fruit</t>
  </si>
  <si>
    <t>Soya beans</t>
  </si>
  <si>
    <t>Cassava, fresh</t>
  </si>
  <si>
    <t>Sugar beet</t>
  </si>
  <si>
    <t>Watermelons</t>
  </si>
  <si>
    <t>Cucumbers and gherkins</t>
  </si>
  <si>
    <t>Skim milk of cows</t>
  </si>
  <si>
    <t>Raw milk of buffalo</t>
  </si>
  <si>
    <t>Apples</t>
  </si>
  <si>
    <t>Note: 'Cereals, primary', 'Roots and Tubers, Total', 'Sugar Crops Primary' etc. rank higher but are AGGREGATES that double-count their members — correctly excluded. Livestock (eggs, milk, meat) excluded as non-crop.</t>
  </si>
  <si>
    <t>FOUR STAPLE FAMILIES — the set is balanced, not just top-tonnage</t>
  </si>
  <si>
    <t>Cereals</t>
  </si>
  <si>
    <t>Maize, Rice, Wheat, Sorghum, Millet, Barley</t>
  </si>
  <si>
    <t>The calorie backbone; maize/rice/wheat feed most of humanity.</t>
  </si>
  <si>
    <t>Roots &amp; Tubers</t>
  </si>
  <si>
    <t>Potatoes, Cassava</t>
  </si>
  <si>
    <t>Staple carbohydrate for temperate (potato) and tropical/food-insecure (cassava) regions.</t>
  </si>
  <si>
    <t>Oilseeds</t>
  </si>
  <si>
    <t>Leading oilseed; protein/feed staple and a key deforestation crop.</t>
  </si>
  <si>
    <t>Sugar</t>
  </si>
  <si>
    <t>Leading sugar crop; major land-use / production commodity (see challenge 1).</t>
  </si>
  <si>
    <t>WOULD WE CHALLENGE THIS? — three prepared answers</t>
  </si>
  <si>
    <t>1. Sugarcane is the weak inclusion</t>
  </si>
  <si>
    <t>Sugarcane is #4 by tonnage but ~70% water and mostly NON-food-energy (sugar, ethanol) — a minor CALORIE staple, and it distorts our figures (it's why Brazil leads the all-10 growth numbers and why our 10-crop vs 6-crop bases diverge). RESPONSE: keep it, but justify it as a major PRODUCTION and LAND-USE commodity, not a dietary staple — which fits our land-cost thesis (Brazil's cane drives deforestation). Never call it a 'food staple' without that nuance.</t>
  </si>
  <si>
    <t>2. Biggest genuine omission: OIL PALM</t>
  </si>
  <si>
    <t>Oil palm fruit (411 Mt) is bigger than soy, cassava or potatoes, and is the #1 crop for tropical DEFORESTATION (Indonesia, Malaysia). For a project whose cost arm is cropland-driven forest loss, omitting the world's top deforestation crop is a real gap. RESPONSE (have it ready): excluded as a non-food industrial oil crop concentrated in two countries; it is the natural first EXTENSION of our deforestation layer. Acknowledge it rather than be caught flat.</t>
  </si>
  <si>
    <t>3. Sorghum / millet / barley are small globally</t>
  </si>
  <si>
    <t>By pure world tonnage these are marginal (barley is largely beer/feed, not direct food). RESPONSE: they're included for DIETARY IMPORTANCE IN FOOD-INSECURE REGIONS (millet &amp; sorghum are Sahel staples), not for global tonnage. That's a legitimate food-security reason — just frame it that way, don't defend them on volume.</t>
  </si>
  <si>
    <t>What we would NOT change</t>
  </si>
  <si>
    <t>The core 8 — maize, rice, wheat, soybeans, potatoes, cassava, sorghum, millet — are unimpeachable: top of the crop table, clearly staples, clearly calorie-central. No swap improves the set for a food-supply analysis.</t>
  </si>
  <si>
    <t>BOTTOM LINE: The 10 are defensible as the primary crops spanning the four staple families by production and calorie importance. Keep all 10; frame sugarcane as a land-use (not dietary) commodity, and have the oil-palm answer ready. That converts the three likely attacks into three confident answers.</t>
  </si>
  <si>
    <t>METADATA / DATA QUALITY</t>
  </si>
  <si>
    <t>Role</t>
  </si>
  <si>
    <t>Type</t>
  </si>
  <si>
    <t>Distinct</t>
  </si>
  <si>
    <t>Total  Count</t>
  </si>
  <si>
    <t>Total %</t>
  </si>
  <si>
    <t>Has-Value Count</t>
  </si>
  <si>
    <t>Has-Value %</t>
  </si>
  <si>
    <t>Blank count</t>
  </si>
  <si>
    <t>Blank %</t>
  </si>
  <si>
    <t>Zero count</t>
  </si>
  <si>
    <t>Zero %</t>
  </si>
  <si>
    <t>Completeness %</t>
  </si>
  <si>
    <t>Range / values</t>
  </si>
  <si>
    <t>Meaning</t>
  </si>
  <si>
    <t>Unit</t>
  </si>
  <si>
    <t>Year</t>
  </si>
  <si>
    <t>Key</t>
  </si>
  <si>
    <t>int</t>
  </si>
  <si>
    <t>2000–2024</t>
  </si>
  <si>
    <t>Which year the figure is for.</t>
  </si>
  <si>
    <t>year</t>
  </si>
  <si>
    <t>Reporting year</t>
  </si>
  <si>
    <t>Country</t>
  </si>
  <si>
    <t>text</t>
  </si>
  <si>
    <t>195 values</t>
  </si>
  <si>
    <t>Cleaned to real reporting countries.</t>
  </si>
  <si>
    <t>Producer country</t>
  </si>
  <si>
    <t>Continent</t>
  </si>
  <si>
    <t>6 values</t>
  </si>
  <si>
    <t>Derived via country_converter.</t>
  </si>
  <si>
    <t>Continent (derived from country)</t>
  </si>
  <si>
    <t>Subregion</t>
  </si>
  <si>
    <t>~17 values</t>
  </si>
  <si>
    <t>UN subregion (derived from country)</t>
  </si>
  <si>
    <t>Crop</t>
  </si>
  <si>
    <t>10 staples</t>
  </si>
  <si>
    <t>Canonical analysis key.</t>
  </si>
  <si>
    <t>Clean crop name</t>
  </si>
  <si>
    <t>Item</t>
  </si>
  <si>
    <t>Provenance</t>
  </si>
  <si>
    <t>10 values</t>
  </si>
  <si>
    <t>Traceability; join on Crop not Item.</t>
  </si>
  <si>
    <t>Raw FAOSTAT item name</t>
  </si>
  <si>
    <t>Crop Category</t>
  </si>
  <si>
    <t>4 values</t>
  </si>
  <si>
    <t>Cereals / Roots &amp; Tubers / Oil Crops / Sugar Crops.</t>
  </si>
  <si>
    <t>Staple family</t>
  </si>
  <si>
    <t>Crop Subcategory</t>
  </si>
  <si>
    <t>Coarse grains, Rice, Wheat, Root, Tuber, Oilseed, Sugar.</t>
  </si>
  <si>
    <t>Crop sub-family</t>
  </si>
  <si>
    <t>A/E/I/M/X</t>
  </si>
  <si>
    <t>Official/Estimated/Imputed/Missing/External for that year.</t>
  </si>
  <si>
    <t>FAOSTAT value flag (from YxxxxF)</t>
  </si>
  <si>
    <t>Area_harvested_ha</t>
  </si>
  <si>
    <t>Measure</t>
  </si>
  <si>
    <t>float</t>
  </si>
  <si>
    <t>0 – ~5e7</t>
  </si>
  <si>
    <t>Input to the area effect.</t>
  </si>
  <si>
    <t>ha</t>
  </si>
  <si>
    <t>Harvested area</t>
  </si>
  <si>
    <t>Yield_kg_per_ha</t>
  </si>
  <si>
    <t>0 – ~1.4e5</t>
  </si>
  <si>
    <t>Input to the yield effect.</t>
  </si>
  <si>
    <t>Yield</t>
  </si>
  <si>
    <t>Production_tonnes</t>
  </si>
  <si>
    <t>0 – ~8e8</t>
  </si>
  <si>
    <t>THE headline unit.</t>
  </si>
  <si>
    <t>tonnes</t>
  </si>
  <si>
    <t>Production quantity</t>
  </si>
  <si>
    <t>Area_harvested_ha_DQ</t>
  </si>
  <si>
    <t>QA flag</t>
  </si>
  <si>
    <t>Zero/Blank</t>
  </si>
  <si>
    <t>Marks area = 0, blank, or has a value.</t>
  </si>
  <si>
    <t>Zero/Blank marker for area</t>
  </si>
  <si>
    <t>Yield_kg_per_ha_DQ</t>
  </si>
  <si>
    <t>Marks yield = 0, blank, or has a value.</t>
  </si>
  <si>
    <t>Zero/Blank marker for yield</t>
  </si>
  <si>
    <t>Production_tonnes_DQ</t>
  </si>
  <si>
    <t>Marks production = 0, blank, or has a value.</t>
  </si>
  <si>
    <t>Zero/Blank marker for production</t>
  </si>
  <si>
    <t>DMBOK dimensions — how we checked each</t>
  </si>
  <si>
    <t>DMBOK dimension</t>
  </si>
  <si>
    <t>Definition</t>
  </si>
  <si>
    <t>How this dataset scores</t>
  </si>
  <si>
    <t>Completeness</t>
  </si>
  <si>
    <t>% of non-blank values.</t>
  </si>
  <si>
    <t>Per-column above; measures ~98–100%.</t>
  </si>
  <si>
    <t>Validity</t>
  </si>
  <si>
    <t>Values in allowed domain (&gt;= 0).</t>
  </si>
  <si>
    <t>No negatives; ~100%.</t>
  </si>
  <si>
    <t>Uniqueness</t>
  </si>
  <si>
    <t>No duplicate rows at grain Country x Crop x Year.</t>
  </si>
  <si>
    <t>0 duplicates -&gt; 100.0%.</t>
  </si>
  <si>
    <t>Consistency</t>
  </si>
  <si>
    <t>Production ~= Area x Yield (2% tol).</t>
  </si>
  <si>
    <t>99.1% of rows agree.</t>
  </si>
  <si>
    <t>Accuracy</t>
  </si>
  <si>
    <t>Values reflect the source (FAOSTAT).</t>
  </si>
  <si>
    <t>No values altered; flags carry source quality (A/E/I).</t>
  </si>
  <si>
    <t>Timeliness</t>
  </si>
  <si>
    <t>Current enough for the question.</t>
  </si>
  <si>
    <t>Annual to 2024.</t>
  </si>
  <si>
    <t>DATASET-LEVEL COMPLETENESS &amp; VALIDITY</t>
  </si>
  <si>
    <t>•  Core-data completeness (16 data columns, excludes QA-annotation): 96.77%  —  14,824 blank cells of 458,560.</t>
  </si>
  <si>
    <t>•  Completeness is high everywhere except the five water measures (~90%) and Yield (~98%); most water blanks are the 2024 rows (no water data).</t>
  </si>
  <si>
    <t>•  Validity — one true error: agri_share_of_withdrawals_pct &gt; 100% on 10 rows (Namibia 2020–21). Null or fix.</t>
  </si>
  <si>
    <t>•  Validity — NOT an error: water stress &gt; 100% on 1,985 rows is legitimate (over-abstraction). Zero % is the other validity lever to watch per column.</t>
  </si>
  <si>
    <t>•  QA-annotation columns (Valid, Exclude, all *_DQ) are blank-by-design — their low completeness is expected and must be excluded from any dataset-completeness figure.</t>
  </si>
  <si>
    <t>ANALYSIS RECEIPTS — every number, its source, and the formula, by question</t>
  </si>
  <si>
    <t>Every figure traces to a source dataset and a formula/method. Window 2000-2023 unless noted (land use to 2024). Data sources keyed at the bottom.</t>
  </si>
  <si>
    <t>Q</t>
  </si>
  <si>
    <t>Number / result</t>
  </si>
  <si>
    <t>Value</t>
  </si>
  <si>
    <t>Formula / method</t>
  </si>
  <si>
    <t>Script</t>
  </si>
  <si>
    <t>Q1</t>
  </si>
  <si>
    <t>World staple output growth (6 crops)</t>
  </si>
  <si>
    <t>+58% (2,306-&gt;3,653 Mt)</t>
  </si>
  <si>
    <t>QCL</t>
  </si>
  <si>
    <t>(Σ prod 2023 − Σ prod 2000) / Σ prod 2000 × 100</t>
  </si>
  <si>
    <t>build_analysis.py</t>
  </si>
  <si>
    <t>World gain in tonnes</t>
  </si>
  <si>
    <t>+1,330 Mt</t>
  </si>
  <si>
    <t>Σ prod 2023 − Σ prod 2000</t>
  </si>
  <si>
    <t>Per-capita output change</t>
  </si>
  <si>
    <t>+21% (375-&gt;455 kg)</t>
  </si>
  <si>
    <t>QCL + UN WPP</t>
  </si>
  <si>
    <t>(prod2023/pop2023)/(prod2000/pop2000)−1; pop 6.15bn-&gt;8.02bn</t>
  </si>
  <si>
    <t>Per-crop growth %</t>
  </si>
  <si>
    <t>Maize +110%, Soy +130%, Wheat +36%, Rice +35%, Potato +20%, Sorghum +6%</t>
  </si>
  <si>
    <t>per crop: (w1/w0−1)×100</t>
  </si>
  <si>
    <t>Growth leaders (country share of +1,330 Mt)</t>
  </si>
  <si>
    <t>China 20%, Brazil 17%, India 13%, US 12% (=63%)</t>
  </si>
  <si>
    <t>country Δprod / world Δprod × 100 (6-crop basis)</t>
  </si>
  <si>
    <t>Q1.1</t>
  </si>
  <si>
    <t>10-country total output</t>
  </si>
  <si>
    <t>1,483-&gt;2,512 Mt (+69%)</t>
  </si>
  <si>
    <t>Σ prod of the 10 countries, per year</t>
  </si>
  <si>
    <t>Best / worst YoY year</t>
  </si>
  <si>
    <t>2013 +9.6% / 2002 −3.2%</t>
  </si>
  <si>
    <t>year total / prior year − 1</t>
  </si>
  <si>
    <t>Highest %-growth country</t>
  </si>
  <si>
    <t>Brazil +282%</t>
  </si>
  <si>
    <t>(country 2023 / 2000 − 1)×100</t>
  </si>
  <si>
    <t>Lowest %-growth country</t>
  </si>
  <si>
    <t>Thailand +29%</t>
  </si>
  <si>
    <t>same</t>
  </si>
  <si>
    <t>Q2</t>
  </si>
  <si>
    <t>Area effect (per country-crop)</t>
  </si>
  <si>
    <t>e.g. Brazil soy area +225%</t>
  </si>
  <si>
    <t>area_effect = (A23−A00)·Y00</t>
  </si>
  <si>
    <t>Yield effect</t>
  </si>
  <si>
    <t>e.g. Russia wheat yield +100%</t>
  </si>
  <si>
    <t>yield_effect = (Y23−Y00)·A00</t>
  </si>
  <si>
    <t>Interaction</t>
  </si>
  <si>
    <t>residual</t>
  </si>
  <si>
    <t>(A23−A00)·(Y23−Y00); the three sum to ΔProd</t>
  </si>
  <si>
    <t>Growth path (camp)</t>
  </si>
  <si>
    <t>Land / Yield / Mixed</t>
  </si>
  <si>
    <t>area effect &gt;60% of ΔProd=Land; yield&gt;60%=Yield; else Mixed</t>
  </si>
  <si>
    <t>Split across 6 crops</t>
  </si>
  <si>
    <t>25 yield-driven, 18 area-driven, 16 declined</t>
  </si>
  <si>
    <t>count of country-crops by camp</t>
  </si>
  <si>
    <t>Q3</t>
  </si>
  <si>
    <t>Growth concentration (all 10 staples)</t>
  </si>
  <si>
    <t>Top-3=58%, Top-5=68%, Top-10=79%</t>
  </si>
  <si>
    <t>country Δprod / world Δprod × 100, ranked, cumulative</t>
  </si>
  <si>
    <t>Top-3 shares (all 10)</t>
  </si>
  <si>
    <t>Brazil 28%, India 16%, China 13%</t>
  </si>
  <si>
    <t>same (incl. sugarcane -&gt; Brazil leads)</t>
  </si>
  <si>
    <t>6-crop basis (no sugarcane)</t>
  </si>
  <si>
    <t>China 20%, Brazil 17%, India 13%, US 12%</t>
  </si>
  <si>
    <t>same on 6 crops</t>
  </si>
  <si>
    <t>Q4</t>
  </si>
  <si>
    <t>Panel coverage of world VOLUME</t>
  </si>
  <si>
    <t>Soy 92%, Maize 75%, Rice 61%, Wheat 56%</t>
  </si>
  <si>
    <t>Σ panel prod / Σ world prod × 100, per crop, 2000-2023</t>
  </si>
  <si>
    <t>Q5</t>
  </si>
  <si>
    <t>Cropland vs forest correlation</t>
  </si>
  <si>
    <t>Brazil forest change</t>
  </si>
  <si>
    <t>Brazil cropland change</t>
  </si>
  <si>
    <t>+8,860 (1000 ha)</t>
  </si>
  <si>
    <t>RL</t>
  </si>
  <si>
    <t>cropland_2024 − cropland_2000</t>
  </si>
  <si>
    <t>Quadrant counts</t>
  </si>
  <si>
    <t>58 crop-up/forest-down; 98 crop-down/forest-up</t>
  </si>
  <si>
    <t>sign of dCropland x dForest</t>
  </si>
  <si>
    <t>Crop attribution (inferred)</t>
  </si>
  <si>
    <t>Brazil 62% soy, Nigeria 54% cassava</t>
  </si>
  <si>
    <t>country crop area expansion share (from decomposition)</t>
  </si>
  <si>
    <t>Q6</t>
  </si>
  <si>
    <t>Fertilizer intensity vs yield</t>
  </si>
  <si>
    <t>Fertilizer intensity (kg/ha)</t>
  </si>
  <si>
    <t>China 332, India 196, US 108, Russia 29, Brazil 329</t>
  </si>
  <si>
    <t>RFN</t>
  </si>
  <si>
    <t>(N + P2O5 + K2O agricultural use) per ha cropland</t>
  </si>
  <si>
    <t>Q8</t>
  </si>
  <si>
    <t>Resilience ratio (per crop)</t>
  </si>
  <si>
    <t>Backfill capacity</t>
  </si>
  <si>
    <t>Lost output (the shock)</t>
  </si>
  <si>
    <t>Crops uncoverable</t>
  </si>
  <si>
    <t>Q9</t>
  </si>
  <si>
    <t>Argentina 2023 soy shock</t>
  </si>
  <si>
    <t>−43% (43.9-&gt;25.0 Mt) = 5.1% of world</t>
  </si>
  <si>
    <t>(2023−2022)/2022; Δ / world soy 2023</t>
  </si>
  <si>
    <t>Q9.1</t>
  </si>
  <si>
    <t>Partial-shock coverage</t>
  </si>
  <si>
    <t>Historical worst 1-yr drop</t>
  </si>
  <si>
    <t>Q10</t>
  </si>
  <si>
    <t>Exposure factor</t>
  </si>
  <si>
    <t>top producer's world share %</t>
  </si>
  <si>
    <t>max(country) / Σ × 100 per crop</t>
  </si>
  <si>
    <t>build_fragility_index.py</t>
  </si>
  <si>
    <t>Hazard factor</t>
  </si>
  <si>
    <t>top producer output volatility</t>
  </si>
  <si>
    <t>std of top producer's YoY % change</t>
  </si>
  <si>
    <t>Buffer factor</t>
  </si>
  <si>
    <t>resilience ratio</t>
  </si>
  <si>
    <t>backfill / lost (from Q8)</t>
  </si>
  <si>
    <t>Fragility score (0-100)</t>
  </si>
  <si>
    <t>High: sugarcane, maize, rice, soy</t>
  </si>
  <si>
    <t>100 × buffer_n × (0.7 + 0.3×[0.6·exposure_n + 0.4·hazard_n]); buffer_n=1−min(ratio,1)</t>
  </si>
  <si>
    <t>Risk bands</t>
  </si>
  <si>
    <t>High &gt;55, Moderate 20-55, Low &lt;20</t>
  </si>
  <si>
    <t>cut(score)</t>
  </si>
  <si>
    <t>Prescription (latent capacity)</t>
  </si>
  <si>
    <t>Rice: Indonesia/Myanmar/China; Soy: Argentina/US/Uruguay</t>
  </si>
  <si>
    <t>top-3 other producers by max(peak − current)</t>
  </si>
  <si>
    <t>Q11</t>
  </si>
  <si>
    <t>Fragility over time</t>
  </si>
  <si>
    <t>Sugarcane top-share 26%-&gt;39% (rising); maize 43%-&gt;32% (falling)</t>
  </si>
  <si>
    <t>top producer share per crop, 2000 vs 2023; HHI slope</t>
  </si>
  <si>
    <t>DQ</t>
  </si>
  <si>
    <t>Master rows / countries / crops</t>
  </si>
  <si>
    <t>28,400 rows, 195 countries, 10 crops</t>
  </si>
  <si>
    <t>after cleaning (deterministic build)</t>
  </si>
  <si>
    <t>build_master.py</t>
  </si>
  <si>
    <t>Dataset DQ score (DMBOK)</t>
  </si>
  <si>
    <t>~99.6%</t>
  </si>
  <si>
    <t>mean of Completeness/Validity/Uniqueness/Consistency per column</t>
  </si>
  <si>
    <t>Raw -&gt; clean pipeline</t>
  </si>
  <si>
    <t>78,974 raw -&gt; filter -&gt; 195 countries</t>
  </si>
  <si>
    <t>cleaning_log row counts</t>
  </si>
  <si>
    <t>KEY FORMULAS</t>
  </si>
  <si>
    <t>Growth %</t>
  </si>
  <si>
    <t>(P_2023 − P_2000) / P_2000 × 100</t>
  </si>
  <si>
    <t>P = production tonnes</t>
  </si>
  <si>
    <t>Per-capita output</t>
  </si>
  <si>
    <t>P_year / population_year</t>
  </si>
  <si>
    <t>kg per person</t>
  </si>
  <si>
    <t>Growth contribution</t>
  </si>
  <si>
    <t>country ΔP / world ΔP × 100</t>
  </si>
  <si>
    <t>concentration of growth</t>
  </si>
  <si>
    <t>Area effect</t>
  </si>
  <si>
    <t>(A_23 − A_00) × Y_00</t>
  </si>
  <si>
    <t>A=area ha, Y=yield</t>
  </si>
  <si>
    <t>(Y_23 − Y_00) × A_00</t>
  </si>
  <si>
    <t>sums with area + interaction = ΔP</t>
  </si>
  <si>
    <t>(A_23 − A_00) × (Y_23 − Y_00)</t>
  </si>
  <si>
    <t>residual term</t>
  </si>
  <si>
    <t>Growth path</t>
  </si>
  <si>
    <t>area effect &gt;60% ΔP = Land; yield &gt;60% = Yield; else Mixed</t>
  </si>
  <si>
    <t>the camp classification</t>
  </si>
  <si>
    <t>Fertilizer intensity</t>
  </si>
  <si>
    <t>(N + P2O5 + K2O agricultural use) / cropland ha</t>
  </si>
  <si>
    <t>kg per ha</t>
  </si>
  <si>
    <t>Cropland/forest change</t>
  </si>
  <si>
    <t>value_latest − value_2000</t>
  </si>
  <si>
    <t>1000 ha; latest = 2024 for RL</t>
  </si>
  <si>
    <t>Σ max(peak − current, 0)[others] ÷ top producer output</t>
  </si>
  <si>
    <t>≥1 coverable, &lt;1 fragile</t>
  </si>
  <si>
    <t>Fragility score</t>
  </si>
  <si>
    <t>100 × buffer_n × (0.7 + 0.3 × (0.6·exposure_n + 0.4·hazard_n))</t>
  </si>
  <si>
    <t>buffer_n = 1 − min(ratio,1); exposure/hazard normalised 0-1</t>
  </si>
  <si>
    <t>Pearson r</t>
  </si>
  <si>
    <t>corr(x, y)</t>
  </si>
  <si>
    <t>HHI (concentration)</t>
  </si>
  <si>
    <t>Σ (country share)²</t>
  </si>
  <si>
    <t>top-producer concentration trend</t>
  </si>
  <si>
    <t>WORK</t>
  </si>
  <si>
    <t>One master file, cleaned once. Every headline number in tonnes of food or share of world supply — never a % of water. Submission due 15 Sept 8:00 PM ET; 14 Sept is buffer.</t>
  </si>
  <si>
    <t>Step</t>
  </si>
  <si>
    <t>Step name</t>
  </si>
  <si>
    <t>Type of Analysis</t>
  </si>
  <si>
    <t>What it consists of (method)</t>
  </si>
  <si>
    <t>Comments</t>
  </si>
  <si>
    <t>0</t>
  </si>
  <si>
    <t>Confirm scope</t>
  </si>
  <si>
    <t>Descriptive</t>
  </si>
  <si>
    <t>0.1</t>
  </si>
  <si>
    <t>Define scope, problem, storyline</t>
  </si>
  <si>
    <t>0.2</t>
  </si>
  <si>
    <t>Identify sources and datasets</t>
  </si>
  <si>
    <t>2. Data tab</t>
  </si>
  <si>
    <t>0.3</t>
  </si>
  <si>
    <t>Select + justify the 10 staple crops (4 families; exclude aggregates &amp; livestock)</t>
  </si>
  <si>
    <t>Crop Selection tab</t>
  </si>
  <si>
    <t>0.4</t>
  </si>
  <si>
    <t>Define the study period (2000-2023; land to 2024)</t>
  </si>
  <si>
    <t>0.5</t>
  </si>
  <si>
    <t>Define the research questions</t>
  </si>
  <si>
    <t>Rebuild, clean &amp; profile the master</t>
  </si>
  <si>
    <t>Diagnostic / Exploratory</t>
  </si>
  <si>
    <t>1.1</t>
  </si>
  <si>
    <t>Deterministic rebuild from the raw FAOSTAT file (build_master.py)</t>
  </si>
  <si>
    <t>one script, no hand-edits</t>
  </si>
  <si>
    <t>1.2</t>
  </si>
  <si>
    <t>Drop aggregates + duplicate/former units; log every drop</t>
  </si>
  <si>
    <t>dropped_areas / cleaning_log</t>
  </si>
  <si>
    <t>1.3</t>
  </si>
  <si>
    <t>Derive Continent/Subregion from country; derive Flag from YxxxxF columns</t>
  </si>
  <si>
    <t>1.4</t>
  </si>
  <si>
    <t>Add _DQ (Zero/Blank) markers + Staple flag + country rankings/classification</t>
  </si>
  <si>
    <t>1.5</t>
  </si>
  <si>
    <t>Score data quality on DMBOK dimensions -&gt; ~99.6% dataset DQ score</t>
  </si>
  <si>
    <t>dq_scorecard</t>
  </si>
  <si>
    <t>1.6</t>
  </si>
  <si>
    <t>PIVOT: demote water from spine to cost (weak signal)</t>
  </si>
  <si>
    <t>Growth - area vs yield</t>
  </si>
  <si>
    <t>Diagnostic</t>
  </si>
  <si>
    <t>2.1</t>
  </si>
  <si>
    <t>Decompose each country-crop growth into area + yield effect (Prod = Area x Yield)</t>
  </si>
  <si>
    <t>evidence: growth_area_yield</t>
  </si>
  <si>
    <t>2.2</t>
  </si>
  <si>
    <t>Tag Land / Yield / Mixed (&gt;60% rule)</t>
  </si>
  <si>
    <t>2.3</t>
  </si>
  <si>
    <t>Reframe growth PER CAPITA (+58% -&gt; +21%/person)</t>
  </si>
  <si>
    <t>evidence: growth_totals</t>
  </si>
  <si>
    <t>Concentration of growth</t>
  </si>
  <si>
    <t>3.1</t>
  </si>
  <si>
    <t>Rank countries by share of world staple GROWTH (top-10 = 79%)</t>
  </si>
  <si>
    <t>evidence: concentration</t>
  </si>
  <si>
    <t>3.2</t>
  </si>
  <si>
    <t>Reconcile growth vs volume vs per-crop true producers</t>
  </si>
  <si>
    <t>Three Rankings</t>
  </si>
  <si>
    <t>3.3</t>
  </si>
  <si>
    <t>State the crop basis (10 vs 8 vs primary) on every figure</t>
  </si>
  <si>
    <t>Cost - land -&gt; forest</t>
  </si>
  <si>
    <t>4.1</t>
  </si>
  <si>
    <t>Reshape FAOSTAT Land Use; national cropland vs forest change 2000-2024</t>
  </si>
  <si>
    <t>integrate_land_use.py</t>
  </si>
  <si>
    <t>4.2</t>
  </si>
  <si>
    <t>Brazil #1 forest loser</t>
  </si>
  <si>
    <t>4.3</t>
  </si>
  <si>
    <t>Attribute forest cost to crops via the area decomposition</t>
  </si>
  <si>
    <t>inference, labelled</t>
  </si>
  <si>
    <t>Cost - yield -&gt; fertilizer</t>
  </si>
  <si>
    <t>5.1</t>
  </si>
  <si>
    <t>Reshape FAOSTAT Fertilizers; N+P+K intensity (kg/ha)</t>
  </si>
  <si>
    <t>integrate_fertilizer.py</t>
  </si>
  <si>
    <t>5.2</t>
  </si>
  <si>
    <t>mechanism, not clean split</t>
  </si>
  <si>
    <t>5.3</t>
  </si>
  <si>
    <t>(Water tested again and excluded - stated as a limitation)</t>
  </si>
  <si>
    <t>Resilience</t>
  </si>
  <si>
    <t>Predictive / Diagnostic</t>
  </si>
  <si>
    <t>6.1</t>
  </si>
  <si>
    <t>Knock out each crop's #1 producer; demonstrated-peak backfill</t>
  </si>
  <si>
    <t>resilience.py</t>
  </si>
  <si>
    <t>6.2</t>
  </si>
  <si>
    <t>6.3</t>
  </si>
  <si>
    <t>Anchor to Argentina's real 2023 shock (soy -43%)</t>
  </si>
  <si>
    <t>Story Boosters</t>
  </si>
  <si>
    <t>Trade exposure (kept as illustration)</t>
  </si>
  <si>
    <t>7.1</t>
  </si>
  <si>
    <t>FAOSTAT Trade Matrix: who imports from each fragile crop's top producer</t>
  </si>
  <si>
    <t>build_trade_exposure.py</t>
  </si>
  <si>
    <t>7.2</t>
  </si>
  <si>
    <t>Works for producer=exporter crops (rice, soy); kept producer framing</t>
  </si>
  <si>
    <t>FINALE - Staple Fragility Index</t>
  </si>
  <si>
    <t>Predictive / Prescriptive</t>
  </si>
  <si>
    <t>8.1</t>
  </si>
  <si>
    <t>Partial shocks at -20/-35/-50% (realistic, not just 100%)</t>
  </si>
  <si>
    <t>8.2</t>
  </si>
  <si>
    <t>Historical validation: shocks this size have happened</t>
  </si>
  <si>
    <t>8.3</t>
  </si>
  <si>
    <t>Index = Exposure x Hazard x Buffer (buffer as a gate) -&gt; risk band</t>
  </si>
  <si>
    <t>Sugarcane/Maize/Rice/Soy High</t>
  </si>
  <si>
    <t>8.4</t>
  </si>
  <si>
    <t>Validate: index flags the crops that fail a -35% shock</t>
  </si>
  <si>
    <t>8.5</t>
  </si>
  <si>
    <t>Prescribe: countries with most latent capacity to reinforce each fragile crop</t>
  </si>
  <si>
    <t>9</t>
  </si>
  <si>
    <t>Assemble &amp; deliver</t>
  </si>
  <si>
    <t>Storytelling</t>
  </si>
  <si>
    <t>9.1</t>
  </si>
  <si>
    <t>Fragility frame (open+close) around growth-&gt;concentration-&gt;cost spine</t>
  </si>
  <si>
    <t>Findings at a Glance</t>
  </si>
  <si>
    <t>9.2</t>
  </si>
  <si>
    <t>Complie Project Roadmap/Recap Workbook</t>
  </si>
  <si>
    <t>Create the presentation/video</t>
  </si>
  <si>
    <t>Build visuals: fragility bar, cropland-vs-forest scatter, area-vs-yield matrix</t>
  </si>
  <si>
    <t>(to do)</t>
  </si>
  <si>
    <t>Interactive map + persona;</t>
  </si>
  <si>
    <t>Build Github &amp; publish repo</t>
  </si>
  <si>
    <t>Record 7-min video;</t>
  </si>
  <si>
    <t>ANALYSIS SUMMARY — the questions we asked, answered with data</t>
  </si>
  <si>
    <t>GROWTH</t>
  </si>
  <si>
    <t>SECTION SUMMARY:  The world grew staple output +58% since 2000, but only +21% per person once 30% population growth is netted out. Growth split into two mechanisms — land expansion (Brazil, China, Argentina, Nigeria) vs yield intensification (US, India, Russia). Of the six-crop world gain (+1,336 Mt), the biggest crop movers were maize (+650 Mt, +110%) and soybeans (+210 Mt, +130%).</t>
  </si>
  <si>
    <t>How did the world grow more staple food since 2000, and by how much?</t>
  </si>
  <si>
    <t>Six-crop staple output grew +58% (2,306 -&gt; 3,653 Mt) — but population grew ~30% (6.15bn -&gt; 8.02bn), so per person the gain is only +21% (375 -&gt; 455 kg/person).
By crop: 
- Maize +110% (589-&gt;1,239 Mt), 
- Soybeans +130% (161-&gt;371 Mt), 
- Wheat +36% (583-&gt;795 Mt), 
- Rice +35% (597-&gt;805 Mt), 
- Potatoes +20% (322-&gt;387 Mt), 
- Sorghum +6% (54-&gt;57 Mt). 
By growth leader: 
- China +271 Mt (20% of the gain), 
- Brazil +229 Mt (17%), 
- India +177 Mt (13%), 
- USA +159 Mt (12%) — those four alone = 63% — 
- then Russia, Ukraine, Bangladesh, Pakistan, Argentina, Canada. 
Top-3 = 51%, top-5 = 68%, top-10 = 80%.
So the +58% headline is carried mainly by maize and soybeans; the others grew modestly, and most of the total gain per head just fed more mouths.</t>
  </si>
  <si>
    <t>For each growth leader, was the gain driven by area expansion or by yield improvement?
First group them by land-driven vs yield-driven vs both, then rank themin each group with total amounts, then list the crops with that grouping</t>
  </si>
  <si>
    <t>Two clean camps (2000-&gt;2023 decomposition of Production = Area x Yield). 
LAND-DRIVEN (cleared land): 
- Brazil soybeans (+225% area), 
- China maize (+183 Mt, area), 
- Argentina (soy 47% / maize 41% of its expansion), 
- Nigeria (cassava 54%). 
YIELD-DRIVEN (same/less land): 
- US maize (+138 Mt), 
- India rice (+80 Mt) &amp; wheat, 
- Russia wheat (+100% yield on flat land), 
- China rice &amp; wheat (grew on LESS land). 
MIXED (both): 
- Brazil maize, 
- India maize, 
- Russia maize, 
- Ukraine maize. 
Across the six crops: 25 country-crop gains were yield-driven, 18 area-driven, 16 declined. 
Headline: the biggest land-expanders (Brazil soy, China maize) become the deforestation-cost cases; the biggest yield-intensifiers (US, India, Russia) the input-cost cases.</t>
  </si>
  <si>
    <t>What does the year-over-year output trend show for the 10 countries?</t>
  </si>
  <si>
    <t>The pooled +58% hides very different country trajectories. 
The 10 added ~1,029 Mt between them, and four countries delivered 81%: 
- China +271 Mt (26% of the gain, +57%), 
- Brazil +229 Mt (22%, +282% — the fastest large grower), 
- India +177 Mt (17%, +70%), 
- USA +159 Mt (15%, +37%, the flattest). 
Mid-tier fast growers: 
- Russia (+103%) and Ukraine (+131%) are the MOST VOLATILE (2010 drought, 2022 war); 
- Argentina grew to a 2019 peak then CRASHED to +47% after its 2023 drought. 
Key point for resilience: the fastest-growing suppliers are also the least stable.
- TOTAL output of the 10 (6 crops) climbed from 1,483 Mt (2000) to 2,512 Mt (2023), +69% — a steady rise but NOT smooth. 
- Best single year: 2013 (+9.6% YoY); worst: 2002 (-3.2%). 
- Other down years: 2009, 2012, 2018, 2022 (drought/shock years — the curve dips ~every 3-4 years). 
- HIGHEST GROWTH (2000-&gt;2023, % terms): Brazil +282% (fastest by far), Ukraine +131%, Russia +103%, Pakistan +91%, Nigeria +80%. 
- LOWEST GROWTH: Thailand +29% (flattest), USA +37%, Argentina +47%, China +57%, India +70%. 
But in ABSOLUTE tonnes the order flips — the big established producers dominate the actual gain: China +271 Mt, Brazil +229 Mt, India +177 Mt, USA +159 Mt (these four = ~63% of the tonnage added), vs Thailand +9 Mt, Nigeria +13 Mt at the bottom. 
KEY POINT: the fastest %-growers (Brazil, Ukraine, Russia) are also the most 
VOLATILE year to year (Ukraine 2022 war, Argentina's 2019 peak then 2023-drought crash), while the big absolute contributors (China, India) are the steadiest — which matters directly for resilience.</t>
  </si>
  <si>
    <t>What does the year-by-year path for each country output trend show for the 10 countries?</t>
  </si>
  <si>
    <t>[Pair this with a line chart: annual output of the 6 crops, one line per country, 2000-2023. Overview of how each line moves:]
- CHINA (478 -&gt; 749 Mt): the biggest producer, a smooth, near-uninterrupted climb — the steadiest line on the chart. 
- USA (431 -&gt; 590 Mt): high but JAGGED — dips in 2002, 2012 (drought) and 2019, a 2016 peak (635) it hasn't beaten; grew least in % terms. 
- INDIA (255 -&gt; 432 Mt): steady, consistent rise with only shallow dips — second-steadiest after China. BRAZIL (81 -&gt; 311 Mt): the standout — an almost vertical climb, +282%, still peaking in 2023; the fastest-rising major line. 
- RUSSIA (66 -&gt; 135 Mt) &amp; 
- UKRAINE (34 -&gt; 79 Mt): steep but the MOST VOLATILE — big swings (Russia 68 in 2010, 146 in 2022; Ukraine peaked 99 in 2021 then dropped to 71 in 2022 on the war). ARGENTINA (59 -&gt; 87 Mt): rose to a 2019 peak (137) then CRASHED to 87 by 2023 (drought) — the most dramatic reversal on the chart. PAKISTAN (32 -&gt; 61) &amp; 
- NIGERIA (16 -&gt; 29): small but steadily rising, low volatility. 
- THAILAND (30 -&gt; 39 Mt): essentially FLAT — peaked back in 2012 (45) and drifted down; the least dynamic line. 
OVERVIEW: three shapes emerge — 
- STEADY GIANTS (China, India: smooth climbs, the backbone of the gain), 
- VOLATILE RISERS (Brazil, Russia, Ukraine, Argentina: steep but shock-prone), and 
- FLAT/SMALL (Thailand, Nigeria, Pakistan). The pooled total rises ~+69% but hides these very different paths — and the volatile risers are exactly the producers a resilience analysis should worry about.</t>
  </si>
  <si>
    <t>CONCENTRATION</t>
  </si>
  <si>
    <t>SECTION SUMMARY:  A few countries drove the growth: top-3 = 58%, top-5 = 68%, top-10 = 79% (on all 10 staples incl. sugarcane, so Brazil leads). But 'top by growth' is not 'top producer by volume per crop' — the 10 capture 92% of world soybeans yet only 61% of rice, so crop-specific work uses each crop's true producers.</t>
  </si>
  <si>
    <t>Which countries drove the growth, and what were their shares?
Rank the countries, list the top 10 and their specific amount/volume</t>
  </si>
  <si>
    <t>Highly concentrated. 
On ALL 10 staples: 
- Top-3 = 58% (Brazil 28%, India 16%, China 13%); +US (6.6%) &amp; Pakistan (3.1%) -&gt; 
- Top-5 = 68%; +Argentina, Russia, Thailand, Ukraine, Nigeria -&gt; 
- Top-10 = 79%. The next 96 countries = ~26%; some declined. 
IMPORTANT crop-basis note: those figures are on all 10 staples INCLUDING sugarcane (why Brazil leads). 
On the 6 core crops without sugarcane the ranking flips to 
- China #1 (20% of gain), 
- Brazil #2 (17%), 
- India #3 (13%), 
- US #4 (12%). Always state the basis.</t>
  </si>
  <si>
    <t>Are the 10 selected countries actually the top producers of each crop by volume?</t>
  </si>
  <si>
    <t>No — they are top GROWTH contributors, not top VOLUME producers per crop. 
Coverage of world volume by our 10: 
- Soybeans 92%, 
- Maize 75%, 
- Rice 61%, 
- Wheat 56%, 
- Potatoes 57%, 
- Sorghum 54%. 
Gaps: 
- rice misses Indonesia, Bangladesh, Vietnam, Myanmar; 
- wheat misses France, Canada, Australia, Germany; 
- potatoes misses Germany, Poland. 
Brazil is #1 for GROWTH but only #3 in soybean VOLUME. So for crop-specific questions (concentration, resilience) we use each crop's TRUE top producers by volume, all countries.</t>
  </si>
  <si>
    <t>COST</t>
  </si>
  <si>
    <t xml:space="preserve">Break out the top 10 countries by whether they're land expanders or yield driven or both. then list how they're each per crop: 
- China +271 Mt (20% of the gain), 
- Brazil +229 Mt (17%), 
- India +177 Mt (13%), 
- USA +159 Mt (12%) — those four alone = 63% — 
- then Russia, Ukraine, Bangladesh, Pakistan, Argentina, Canada. </t>
  </si>
  <si>
    <t>Do the land-expansion leaders sit where forest is being lost?
Give pearson's R for all countries</t>
  </si>
  <si>
    <t>Do the yield-intensification leaders sit where input pressure is high?
Give pearson's R for all countries</t>
  </si>
  <si>
    <t>Q3.1a</t>
  </si>
  <si>
    <t>Global cropland vs forest correlation — across ALL countries, do the biggest cropland expanders lose the most forest?</t>
  </si>
  <si>
    <t>Q3.1b</t>
  </si>
  <si>
    <t>Counter-examples — which countries expanded cropland WITHOUT losing forest?</t>
  </si>
  <si>
    <t>Q7</t>
  </si>
  <si>
    <t>What about water as a cost?</t>
  </si>
  <si>
    <t>Tested and EXCLUDED. National water stress (SDG 6.4.2) doesn't discriminate among major producers — most large producers register LOW stress — and it masks the sub-national basins where irrigation pressure actually bites. It's also partly imputed. Stated as a limitation; sub-national WRI Aqueduct is the right next tool.</t>
  </si>
  <si>
    <t>RESILIENCE &amp; FRAGILITY (finale)</t>
  </si>
  <si>
    <t>If a crop's top producer failed, is there enough demonstrated capacity elsewhere to cover the loss?</t>
  </si>
  <si>
    <t>What does that mean, and is it real?</t>
  </si>
  <si>
    <r>
      <t xml:space="preserve">Resilience is INVERSE to importance — </t>
    </r>
    <r>
      <rPr>
        <b/>
        <sz val="9"/>
        <color rgb="FF000000"/>
        <rFont val="Arial"/>
        <family val="2"/>
      </rPr>
      <t>the crops the world eats most (rice, maize, wheat) are the LEAST replaceable,</t>
    </r>
    <r>
      <rPr>
        <sz val="9"/>
        <color rgb="FF000000"/>
        <rFont val="Arial"/>
        <family val="2"/>
      </rPr>
      <t xml:space="preserve"> because their top producer is too dominant to substitute; the 'safe' crops are the minor ones. 
It's not hypothetical: Argentina's 2023 drought cut its soybeans -43% (43.9 -&gt; 25.0 Mt) and maize -30% in ONE year; the soy loss alone erased 5.1% of world soybean supply — exactly the shock our analysis says the world can't absorb for that crop.</t>
    </r>
  </si>
  <si>
    <t>Does the finding survive a realistic PARTIAL shock, not just a total wipeout?</t>
  </si>
  <si>
    <t>Yes — that's the stronger version. At a realistic -35% loss of the top producer (smaller than Argentina's real -43%), rice, maize and sugarcane are ALREADY uncoverable; at -50% soybeans joins them. 
The historical worst single-year drops of the top producers (India rice -18%, US maize -13%, Brazil soy -12%) confirm shocks of this size have repeatedly happened.</t>
  </si>
  <si>
    <t>Q9.2</t>
  </si>
  <si>
    <t>Which crops are most at future risk, and what reinforces resilience? (the Fragility Index)</t>
  </si>
  <si>
    <t>Our Staple Fragility Index = Exposure (top-producer concentration) x Hazard (that producer's output volatility) x Buffer (backfill thinness), with BUFFER AS A GATE (a coverable crop is low-risk regardless). 
Ranking: 
- HIGH — Sugarcane, Maize, Rice, Soybeans; 
- MODERATE — Cassava; 
- LOW — Potatoes, Wheat, Barley, Millet, Sorghum. 
It VALIDATES by flagging exactly the crops that fail a -35% shock. 
PRESCRIPTION (countries with most latent capacity to reinforce each): 
- Rice -&gt; Indonesia, Myanmar, China; 
- Soybeans -&gt; Argentina, US, Uruguay; 
- Maize -&gt; Argentina, Ukraine, Indonesia; 
- Sugarcane -&gt; Thailand, Cuba, China. 
Every input is measured, so the index is transparent, not a black box.</t>
  </si>
  <si>
    <t>Is fragility getting worse over time?</t>
  </si>
  <si>
    <t>Not as a blanket claim — it's crop-specific. 
- Top-producer share ROSE for sugarcane (Brazil 26%-&gt;39%, HHI rising p&lt;0.001), millet, potatoes, barley, wheat — but FELL for maize (US 43%-&gt;32%), soybeans, rice, sorghum as they diversified. 
So say 'fragility is high everywhere NOW, and worsening for sugarcane specifically', NOT 'the world is getting more fragile' (the data doesn't support the blanket claim).</t>
  </si>
  <si>
    <t>CONCLUSION</t>
  </si>
  <si>
    <t>SECTION SUMMARY:  The world grew more staple food two ways — each with a cost — and concentrated that growth so tightly that the most important staples are now the least able to survive the loss of any one producer.</t>
  </si>
  <si>
    <t>Q12</t>
  </si>
  <si>
    <t>The one-sentence takeaway.</t>
  </si>
  <si>
    <t>The world grew more staple food two ways — clearing land and raising yields, each with a cost — and concentrated that growth so tightly that the most important staples are now the least able to survive the loss of any one producer. India's 2023 rice export ban and Argentina's drought proved it in real time; companies like Cargill, Bunge and ADM that move 90% of global grain trade are the ones positioned to act on the watchlist and the reinforcement plan.</t>
  </si>
  <si>
    <t>Q13</t>
  </si>
  <si>
    <t>Who is this for, and why does it matter?</t>
  </si>
  <si>
    <t>Primary audience: supply-chain risk teams at the major grain traders (Cargill, ADM, Bunge, Louis Dreyfus, COFCO) and large food buyers — they move ~90% of global grain trade and track price and yield but NOT structural fragility. A crop whose top producer is irreplaceable is a contract risk years before it hits the news; India's rice ban and Argentina's drought are the live examples. The recommendation is specific: Cargill and ADM already operate in the reinforcement countries (Argentina for soy, Indonesia for rice) — the infrastructure to diversify EXISTS; the fragility index tells them WHERE to prioritise. Secondary: food-security agencies, FAO, and farmland investors (e.g. Limoneira — judge Devulapalli — with operations in Argentina). The Fragility Index turns this into an actionable watchlist, not a report.</t>
  </si>
  <si>
    <t>Top 10 producers per crop — 3-year average, 2021–2023 (Mt)</t>
  </si>
  <si>
    <t>Compare against Top10_Producers_by_Crop.xlsx (2023). Only rice reorders (China #1 here vs India in 2023).</t>
  </si>
  <si>
    <t>MAIZE    —    world avg 1,200.5 Mt    ·    162 producing countries</t>
  </si>
  <si>
    <t>Production (Mt)</t>
  </si>
  <si>
    <t>Share of world</t>
  </si>
  <si>
    <t>Cumulative</t>
  </si>
  <si>
    <t>Mexico</t>
  </si>
  <si>
    <t>South Africa</t>
  </si>
  <si>
    <t>Indonesia</t>
  </si>
  <si>
    <t>Rest of world (152 countries)</t>
  </si>
  <si>
    <t>World total (all producers)</t>
  </si>
  <si>
    <t>RICE    —    world avg 789.9 Mt    ·    115 producing countries</t>
  </si>
  <si>
    <t>Bangladesh</t>
  </si>
  <si>
    <t>Viet Nam</t>
  </si>
  <si>
    <t>Myanmar</t>
  </si>
  <si>
    <t>Philippines</t>
  </si>
  <si>
    <t>Cambodia</t>
  </si>
  <si>
    <t>Rest of world (105 countries)</t>
  </si>
  <si>
    <t>WHEAT    —    world avg 795.2 Mt    ·    122 producing countries</t>
  </si>
  <si>
    <t>France</t>
  </si>
  <si>
    <t>Australia</t>
  </si>
  <si>
    <t>Canada</t>
  </si>
  <si>
    <t>Germany</t>
  </si>
  <si>
    <t>Rest of world (112 countries)</t>
  </si>
  <si>
    <t>SOYBEANS    —    world avg 366.6 Mt    ·    102 producing countries</t>
  </si>
  <si>
    <t>Paraguay</t>
  </si>
  <si>
    <t>Bolivia (Plurinational State of)</t>
  </si>
  <si>
    <t>Rest of world (92 countries)</t>
  </si>
  <si>
    <t>POTATOES    —    world avg 379.6 Mt    ·    154 producing countries</t>
  </si>
  <si>
    <t>Egypt</t>
  </si>
  <si>
    <t>Rest of world (144 countries)</t>
  </si>
  <si>
    <t>SUGARCANE    —    world avg 1,934.5 Mt    ·    94 producing countries</t>
  </si>
  <si>
    <t>Colombia</t>
  </si>
  <si>
    <t>Rest of world (84 countries)</t>
  </si>
  <si>
    <t>CASSAVA    —    world avg 332.4 Mt    ·    97 producing countries</t>
  </si>
  <si>
    <t>Democratic Republic of the Congo</t>
  </si>
  <si>
    <t>Ghana</t>
  </si>
  <si>
    <t>United Republic of Tanzania</t>
  </si>
  <si>
    <t>Angola</t>
  </si>
  <si>
    <t>Rest of world (87 countries)</t>
  </si>
  <si>
    <t>SORGHUM    —    world avg 58.6 Mt    ·    108 producing countries</t>
  </si>
  <si>
    <t>Ethiopia</t>
  </si>
  <si>
    <t>Sudan</t>
  </si>
  <si>
    <t>Rest of world (98 countries)</t>
  </si>
  <si>
    <t>MILLET    —    world avg 30.1 Mt    ·    74 producing countries</t>
  </si>
  <si>
    <t>Niger</t>
  </si>
  <si>
    <t>Mali</t>
  </si>
  <si>
    <t>Senegal</t>
  </si>
  <si>
    <t>Burkina Faso</t>
  </si>
  <si>
    <t>Chad</t>
  </si>
  <si>
    <t>Rest of world (64 countries)</t>
  </si>
  <si>
    <t>BARLEY    —    world avg 146.5 Mt    ·    101 producing countries</t>
  </si>
  <si>
    <t>Türkiye</t>
  </si>
  <si>
    <t>United Kingdom of Great Britain and Northern Ireland</t>
  </si>
  <si>
    <t>Spain</t>
  </si>
  <si>
    <t>Rest of world (91 countries)</t>
  </si>
  <si>
    <t>RESILIENCE ANALYSIS — what it is, how it works, what it found</t>
  </si>
  <si>
    <t>THE QUESTION</t>
  </si>
  <si>
    <t>If the #1 producer of a staple crop failed (a drought, war, or export ban), could the REST of the world grow enough to cover the loss? In other words, how substitutable is each crop's supply — is there a backup, or is the world dependent on one country?</t>
  </si>
  <si>
    <t>WHAT WE MEASURE (the metric)</t>
  </si>
  <si>
    <t>The RESILIENCE RATIO per crop = backfill capacity ÷ tonnage lost. If it's &gt;= 1 the world can physically cover the loss; if &lt; 1 it can't. We do it per crop, using each crop's TRUE top producer by volume (all countries, not just our panel of 10).</t>
  </si>
  <si>
    <t>HOW WE COMPUTE IT (transparent, from production data only)</t>
  </si>
  <si>
    <t>THE KEY INSIGHT</t>
  </si>
  <si>
    <t>Resilience is INVERSE to importance — the crops the world eats most (rice, maize, wheat) are the LEAST replaceable, because their top producer is too dominant to substitute; the 'safe' crops are the minor ones. That's counterintuitive and it's the headline.</t>
  </si>
  <si>
    <t>HONEST LIMITATION</t>
  </si>
  <si>
    <t>This is TONNAGE-only structural risk: it answers 'does the physical capacity exist somewhere', NOT 'would that country export it rather than feed itself' (that would need Food Balance Sheets — a stated extension), nor how FAST capacity could ramp (a crop needs a full growing season). A 'NO' is the stronger claim: the capacity simply doesn't exist.</t>
  </si>
  <si>
    <t>WHERE TO SEE IT</t>
  </si>
  <si>
    <t>COMPUTATION — resilience ratio per crop (worked)</t>
  </si>
  <si>
    <t>#1 producer</t>
  </si>
  <si>
    <t>Lost (Mt)</t>
  </si>
  <si>
    <t>Backfill (Mt)</t>
  </si>
  <si>
    <t>Ratio</t>
  </si>
  <si>
    <t>Covered?</t>
  </si>
  <si>
    <t>PREDICTIVE ANALYSIS — the Staple Fragility Index</t>
  </si>
  <si>
    <t>Resilience tells us which crops are fragile TODAY. The predictive question: looking forward, WHICH crops are most at risk of an uncoverable shock — and WHAT would reduce that risk? We turn the finding into a forward-looking risk score and a prescription.</t>
  </si>
  <si>
    <t>WHY A TRANSPARENT INDEX, NOT AN ML FORECAST</t>
  </si>
  <si>
    <t>THE MODEL — three factors</t>
  </si>
  <si>
    <t>WHAT IT PREDICTS (the ranking)</t>
  </si>
  <si>
    <t>THE PRESCRIPTION (what reinforces resilience)</t>
  </si>
  <si>
    <t>Structural, tonnage-based risk. It does NOT model the CAUSE of a shock (climate, war, policy) or the SPEED of ramp-up. It says WHICH crops are exposed and WHERE capacity exists — not exactly when a shock hits. Every input is measured, so the score is transparent, not a prediction dressed up as certainty.</t>
  </si>
  <si>
    <t>COMPUTATION — the Fragility Index, worked per crop</t>
  </si>
  <si>
    <t>Exposure %</t>
  </si>
  <si>
    <t>Hazard (vol)</t>
  </si>
  <si>
    <t>Buffer (ratio)</t>
  </si>
  <si>
    <t>expN</t>
  </si>
  <si>
    <t>hazN</t>
  </si>
  <si>
    <t>bufN</t>
  </si>
  <si>
    <t>Score /100</t>
  </si>
  <si>
    <t>Risk band</t>
  </si>
  <si>
    <t>High</t>
  </si>
  <si>
    <t>Moderate</t>
  </si>
  <si>
    <t>Low</t>
  </si>
  <si>
    <t>DATA SOURCES &amp; FORMULA GLOSSARY</t>
  </si>
  <si>
    <t>Python Scripts</t>
  </si>
  <si>
    <t>Run order (the spine): build_master.py → resilience.py → build_fragility_index.py → build_analysis.py. The cost scripts (integrate_land_use.py, integrate_fertilizer.py, build_cost_master.py) and build_trade_exposure.py are optional add-on layers; make_visuals.py runs last once the master exists.</t>
  </si>
  <si>
    <t>Key steps</t>
  </si>
  <si>
    <t>Rebuilds the clean master dataset from the raw FAOSTAT production file (195 countries, 10 crops, 2000-2024).</t>
  </si>
  <si>
    <t>Derives continent/subregion/flag, 
adds _DQ columns, 
staple flag, 
country rankings; 
DMBOK data-quality scorecard (~99.6%). 
Run first.</t>
  </si>
  <si>
    <t>Land-path cost: national cropland vs forest change from FAOSTAT Land Use (RL).</t>
  </si>
  <si>
    <t>Yield-path cost: fertilizer intensity from FAOSTAT Fertilizers by Nutrient (RFN).</t>
  </si>
  <si>
    <t>build_cost_master.py</t>
  </si>
  <si>
    <t>(Optional) Joins Land Use + Fertilizers into one country-year cost master.</t>
  </si>
  <si>
    <t>Outer join on Country + Year; coverage / data-quality checks.</t>
  </si>
  <si>
    <t>Resilience ratio per crop: can others cover the loss of the #1 producer?</t>
  </si>
  <si>
    <t>The finale - the Staple Fragility Index (predictive + prescriptive).</t>
  </si>
  <si>
    <t>Partial shocks (-20/-35/-50%); historical validation; Exposure x Hazard x Buffer score; reinforcement prescription.</t>
  </si>
  <si>
    <t>Builds the evidence workbook - every computed metric mapped to the claim it backs.</t>
  </si>
  <si>
    <t>Growth, concentration, cost, resilience tabs + a claims map.</t>
  </si>
  <si>
    <t>(Illustration) Names importers exposed to each fragile crop's top producer.</t>
  </si>
  <si>
    <t>FAOSTAT Detailed Trade Matrix; dependency % per importer.</t>
  </si>
  <si>
    <t>make_visuals.py</t>
  </si>
  <si>
    <t>Generates the 5 core charts as PNGs.</t>
  </si>
  <si>
    <t>Resilience bar, cropland-vs-forest scatter, area-vs-yield, fragility index, per-country trends.</t>
  </si>
  <si>
    <t>DATA SOURCES (all FAOSTAT)</t>
  </si>
  <si>
    <t>Used for</t>
  </si>
  <si>
    <t>Production: Crops &amp; Livestock</t>
  </si>
  <si>
    <t>Area, yield, production per crop x country x year. THE spine — growth, concentration, resilience, fragility.</t>
  </si>
  <si>
    <t>Land Use</t>
  </si>
  <si>
    <t>National cropland &amp; forest-land area. The land-path (forest) cost.</t>
  </si>
  <si>
    <t>Fertilizers by Nutrient</t>
  </si>
  <si>
    <t>N/P/K use. The yield-path (input) cost.</t>
  </si>
  <si>
    <t>TM</t>
  </si>
  <si>
    <t>Bilateral imports. Used only to illustrate exposed importers (producer=exporter crops).</t>
  </si>
  <si>
    <t>UN WPP</t>
  </si>
  <si>
    <t>UN World Population Prospects</t>
  </si>
  <si>
    <t>World population (6.15bn 2000, 8.02bn 2023) for the per-capita reframe.</t>
  </si>
  <si>
    <t>(dropped)</t>
  </si>
  <si>
    <t>SDG 6.4.2 / AQUASTAT water; FRA; FBS</t>
  </si>
  <si>
    <t>Tested and NOT used — water didn't discriminate; stated as limitations.</t>
  </si>
  <si>
    <t>PRODUCTION CHECKLIST — record in this order</t>
  </si>
  <si>
    <t>Task</t>
  </si>
  <si>
    <t>Deploy the tool (Streamlit or Power BI)</t>
  </si>
  <si>
    <t>Must be LIVE and clickable before recording. Test clicking Rice + Soybeans.</t>
  </si>
  <si>
    <t>Build the ~12 slides</t>
  </si>
  <si>
    <t>Use PNGs from make_visuals.py. Dark green palette. One message per slide.</t>
  </si>
  <si>
    <t>REHEARSE twice, timed, both people</t>
  </si>
  <si>
    <t>Target 6:45. If over 7:00: cut the obstacles beat (slide 6) first.</t>
  </si>
  <si>
    <t>Record: A's screen share (slides + narration)</t>
  </si>
  <si>
    <t>Zoom/Loom. ~3.5 min of raw footage. Don't rush the scatter or the resilience bar.</t>
  </si>
  <si>
    <t>Record: B's camera (cold open, reactions, close)</t>
  </si>
  <si>
    <t>B on camera for 0:00-0:15 voiceover, 0:15-1:30 intro/problem, reactions, 6:40-6:55 close.</t>
  </si>
  <si>
    <t>Record: the tool demo (ONE TAKE, B narrates)</t>
  </si>
  <si>
    <t>B shares screen. Clicks Rice, narrates, clicks Soybeans. Practice 5x first. Don't edit this — it needs to feel real.</t>
  </si>
  <si>
    <t>Edit together</t>
  </si>
  <si>
    <t>CapCut / iMovie / Canva. Cut between A's slides and B's face. Title card + end card. Quiet music on open/close only.</t>
  </si>
  <si>
    <t>Add captions</t>
  </si>
  <si>
    <t>Auto-generate in CapCut or YouTube Studio. Judges sometimes watch with sound off.</t>
  </si>
  <si>
    <t>Final check: under 7:00, all 7 sections covered</t>
  </si>
  <si>
    <t>Watch the final cut as a judge would. Check: team? problem? methodology? findings? tool? recommendations? conclusion?</t>
  </si>
  <si>
    <t>10</t>
  </si>
  <si>
    <t>Submit + push GitHub</t>
  </si>
  <si>
    <t>One submission only. Video file + GitHub URL + tool URL.</t>
  </si>
  <si>
    <t>PERSONA OPTIONS — who we present this to, and the pitch for each</t>
  </si>
  <si>
    <t>The choice hinges on scope: our finding is now systemic + prescriptive (which crops are fragile, and where to build backup). A buyer can REACT to risk; only wider actors can FIX it. Pick a persona that fits the WHOLE arc, or use the buyer as the emotional way in and widen for the fix.</t>
  </si>
  <si>
    <t>Persona</t>
  </si>
  <si>
    <t>Who they are</t>
  </si>
  <si>
    <t>Strength</t>
  </si>
  <si>
    <t>Weakness</t>
  </si>
  <si>
    <t>Judge fit</t>
  </si>
  <si>
    <t>One-line pitch hook</t>
  </si>
  <si>
    <t>Sourcing manager
(food buyer)</t>
  </si>
  <si>
    <t>Decides where a food company sources its wheat, rice, soy next year. Tracks price &amp; yield, not fragility.</t>
  </si>
  <si>
    <t>Concrete, relatable, vivid. Toolkit + past winners reward a NAMED individual buyer ('Sarah in Damascus'). Easy 90-sec story.</t>
  </si>
  <si>
    <t>Her job is bigger than our fix — she can REACT to risk (re-source) but can't build capacity in Indonesia. Story shouldn't end on HER acting.</t>
  </si>
  <si>
    <t>Baishya (Amazon supply chain), Helmi (Corteva sells by crop/geo).</t>
  </si>
  <si>
    <t>'She watches price and yield religiously — but there's a third number she can't see, and it's the one that will blindside her.'</t>
  </si>
  <si>
    <t>Supply-chain RISK officer</t>
  </si>
  <si>
    <t>The person whose whole job is spotting systemic dependency and flagging it upstream — before it hits contracts.</t>
  </si>
  <si>
    <t>Fits our resilience/fragility work PERFECTLY — assessing hidden dependency IS their job. Spans problem AND solution. Still commercial &amp; relatable.</t>
  </si>
  <si>
    <t>Slightly less 'everyday' than a buyer; needs one line to establish what a risk officer does.</t>
  </si>
  <si>
    <t>Baishya — DEAD ON (her exact role at Amazon SCOT). Strong.</t>
  </si>
  <si>
    <t>'My job is to find the dependency nobody else sees — and I just found one hiding in plain sight across the world's food supply.'</t>
  </si>
  <si>
    <t>National food-security planner</t>
  </si>
  <si>
    <t>An advisor at an importing country's agriculture ministry, or a body like FAO / WFP.</t>
  </si>
  <si>
    <t>This is who our PRESCRIPTION actually speaks to — 'which crops are fragile, where to build backup'. Perfect scope fit for the systemic finding.</t>
  </si>
  <si>
    <t>Less relatable / harder to make vivid in 90 sec. Least aligned to the (commercial-leaning) judges. Vividness is what the presentation score rewards.</t>
  </si>
  <si>
    <t>Weaker — judges lean commercial, not policy.</t>
  </si>
  <si>
    <t>'I'm responsible for making sure my country can feed itself if the world's breadbaskets stumble — and the math just got frightening.'</t>
  </si>
  <si>
    <t>Agribusiness strategist</t>
  </si>
  <si>
    <t>Someone at a seed/farmland company (e.g. Corteva, Limoneira) who decides where the INDUSTRY invests in production capacity.</t>
  </si>
  <si>
    <t>Bridges commercial AND prescriptive — they can act on 'where to build backup capacity'. Aimed squarely at two judges' own companies.</t>
  </si>
  <si>
    <t>A touch more abstract than a buyer; the 'invest in capacity' decision is less immediately gripping than a shortage.</t>
  </si>
  <si>
    <t>Devulapalli (Limoneira: farmland+water), Helmi (Corteva). Very strong.</t>
  </si>
  <si>
    <t>'We decide where the world plants next. The data just told us we're building on a dangerously narrow base.'</t>
  </si>
  <si>
    <t>RECOMMENDATION: Best single choice = the SUPPLY-CHAIN RISK OFFICER (green) — it spans problem AND fix and lands on judge Baishya. Safe alternative = keep the SOURCING MANAGER as the emotional hook, then widen for the fix ('this is the risk she sees first, but the fix sits with those who can build capacity'). The AGRIBUSINESS STRATEGIST is the best fit if you want to aim at Devulapalli/Helmi's own world. AVOID the policy planner as your PRIMARY persona — accurate target, but not vivid enough for the presentation score.</t>
  </si>
  <si>
    <t>KEY RULE (whichever you pick): name a RELATABLE individual to FEEL the problem, then let the systemic prescription speak to the wider audience in one line. Don't end the story on a persona acting on something outside their power.</t>
  </si>
  <si>
    <t>ELEVATOR PITCHES — a ~90-second version for each persona</t>
  </si>
  <si>
    <t>1) SOURCING MANAGER  (the food buyer — emotional hook, widen for the fix)</t>
  </si>
  <si>
    <t>Picture a sourcing manager at a food company. Every year she decides where to buy her company's wheat, rice and soy. She watches two numbers religiously — price and yield. But there's a third number she can't see, and it's the one that will blindside her.</t>
  </si>
  <si>
    <t>The world grows 58% more staple food than in 2000 — but per person, only 21% more, and that growth came from just ten countries, grown two ways with two hidden costs: clearing forest (Brazil is now the planet's #1 forest loser) or leaning on fertilizer. So the world's food supply has quietly concentrated into a few hands. We asked the question nobody's asking: what if one of those hands fails?</t>
  </si>
  <si>
    <t>We ran the test — knock out each crop's top producer, and could everyone else cover the gap? For seven of ten staples, no. And the crops we depend on most are the ones we can least replace. It's not hypothetical: Argentina just lost 43% of its soybeans to one drought — 5% of world supply, gone in a year.</t>
  </si>
  <si>
    <t>That's the number she's been missing. We built the Staple Fragility Index to see it coming — it flags the four riskiest crops before a shock hits. She can react to it today by diversifying her contracts — but the real fix is bigger than any one buyer: our model names exactly which countries could build the backup capacity to make these crops safe again. The world's most important staples have quietly become its least resilient. We built the watchlist — and the plan.</t>
  </si>
  <si>
    <t>2) SUPPLY-CHAIN RISK OFFICER  (best fit — spans problem AND solution; lands on judge Baishya)</t>
  </si>
  <si>
    <t>My job is to find the dependency nobody else sees — the single point of failure hiding inside a supply chain until the day it breaks. I just found one, and it isn't in a company. It's in the world's food supply.</t>
  </si>
  <si>
    <t>Staple food output is up 58% since 2000, which sounds safe — until you see how it got there. That growth came from just ten countries, and only 21% of it per person. They grew it by clearing forest or pouring on fertilizer — measurable costs; Brazil is now the largest forest loser on Earth. The result is a food system concentrated into very few producers per crop. So I stress-tested it the way I'd stress-test any supply chain.</t>
  </si>
  <si>
    <t>I removed each crop's top producer and asked: could every other country, running flat out at its best output ever, cover the loss? For seven of ten staples — no. And here's the exposure that matters most: the crops the world eats most are the least replaceable. Rice, maize, wheat — no backup. Argentina's 2023 drought (soy down 43%, 5% of world supply) is exactly the shock the system can't absorb.</t>
  </si>
  <si>
    <t>So I built the early-warning tool I'd want on my desk: the Staple Fragility Index — one score per crop for exposure, volatility, and how thin the safety net is. It flags the four highest-risk crops before the shock, it validates against real historical shocks, and it doesn't stop at the alarm — it names which countries could build the capacity to close each gap. Every number traces to a source and a formula; no black boxes. The world's most important staples are its least resilient — and now there's a watchlist and a plan.</t>
  </si>
  <si>
    <t>3) AGRIBUSINESS STRATEGIST  (strong — aimed at Devulapalli/Helmi's world; the 'where to invest' angle)</t>
  </si>
  <si>
    <t>We decide where the world plants next — where the industry puts its seed, its land, its capital. So I need to know if we're building on solid ground. We're not.</t>
  </si>
  <si>
    <t>The world grew staple output 58% since 2000, but it did it by concentrating: ten countries produced nearly 80% of the gain, either by clearing forest or by leaning harder on fertilizer — and Brazil is now the single largest forest loser on the planet. That's a narrow, costly base for the world's food.</t>
  </si>
  <si>
    <t>We tested how narrow. Take out each crop's top producer, and ask if everyone else could cover it at their best-ever output. For seven of ten staples, they can't — and it's worst for the crops that matter most: rice, maize, wheat have no backup. Argentina's 2023 drought wiped out 5% of world soy in a single season. That's the fragility we'd be investing into blind.</t>
  </si>
  <si>
    <t>So we built the map for where to invest instead: the Staple Fragility Index ranks every crop by risk — sugarcane, maize, rice and soybeans highest — and, crucially, it names the countries with the latent capacity to reinforce each one. That's not just a risk report; it's a capacity-building roadmap. It tells us where the next acre of the world's food should go — and it's all reproducible, every number sourced. We're building on a dangerously narrow base. Here's how to widen it.</t>
  </si>
  <si>
    <t>4) NATIONAL FOOD-SECURITY PLANNER  (accurate target for the prescription — use only if pitching to policy)</t>
  </si>
  <si>
    <t>My job is to make sure my country can still eat if the world's breadbaskets stumble. For years the numbers looked reassuring. They don't anymore.</t>
  </si>
  <si>
    <t>Global staple output rose 58% since 2000, but the gain came from a handful of countries and only 21% of it per person — and they grew it by clearing forest or intensifying inputs, costs that don't show up on a price ticker. The world's food now hangs on a few dominant producers per crop.</t>
  </si>
  <si>
    <t>We tested what happens if one falls. Remove each crop's top producer, and see if the rest of the world can cover it. For seven of ten staples, it cannot — and the crops we rely on most for calories are the least replaceable. Argentina's 2023 drought erased 5% of global soybean supply in one year; that is precisely the shock this system can't withstand.</t>
  </si>
  <si>
    <t>So we built a planning tool: the Staple Fragility Index flags which staples are most exposed, before the crisis — and it identifies which countries hold the latent capacity to reinforce each one. For a food-security body, that's a targeting map: where to invest, diversify, and stockpile. Every figure is sourced and reproducible. The most important staples have become the least resilient — and here is where to act first.</t>
  </si>
  <si>
    <t>VISUALS TO BUILD — priority, tool, and why each lands</t>
  </si>
  <si>
    <t>Build the 4 CORE first (they carry the video). Add STRETCH only if time allows. Rule: one message per visual, big labels, readable at video resolution. Every chart must be explainable in one spoken sentence.</t>
  </si>
  <si>
    <t>Priority</t>
  </si>
  <si>
    <t>Visual</t>
  </si>
  <si>
    <t>What it shows</t>
  </si>
  <si>
    <t>Best tool</t>
  </si>
  <si>
    <t>Why it's impactful</t>
  </si>
  <si>
    <t>Which act/slide</t>
  </si>
  <si>
    <t>CORE 1</t>
  </si>
  <si>
    <t>Resilience bar (the headline)</t>
  </si>
  <si>
    <t>Resilience ratio per crop, bars sorted low-&gt;high, a RED line at 1.0. Everything below the line = can't be backfilled.</t>
  </si>
  <si>
    <t>Python (matplotlib/plotly) or Excel</t>
  </si>
  <si>
    <t>Act 4 / slide 9</t>
  </si>
  <si>
    <t>CORE 2</t>
  </si>
  <si>
    <t>Cropland-vs-forest scatter</t>
  </si>
  <si>
    <t>One dot per country: x = cropland change, y = forest change, coloured by growth-path camp; Brazil labelled bottom-right.</t>
  </si>
  <si>
    <t>Python / plotly</t>
  </si>
  <si>
    <t>Act 3 / slide 7</t>
  </si>
  <si>
    <t>CORE 3</t>
  </si>
  <si>
    <t>Area-vs-yield matrix</t>
  </si>
  <si>
    <t>Each leader country plotted / bar-split by how it grew (area % vs yield %), Land vs Yield camps colour-coded.</t>
  </si>
  <si>
    <t>Python / Excel stacked bars</t>
  </si>
  <si>
    <t>Turns the abstract 'two paths' into a picture — Brazil all-area, Russia all-yield. Anchors the whole growth story.</t>
  </si>
  <si>
    <t>Act 1 / slide 5</t>
  </si>
  <si>
    <t>CORE 4</t>
  </si>
  <si>
    <t>Fragility Index ranking</t>
  </si>
  <si>
    <t>Horizontal bars of fragility score by crop, coloured High/Moderate/Low.</t>
  </si>
  <si>
    <t>Python / Excel</t>
  </si>
  <si>
    <t>The finale as one image — sugarcane/maize/rice/soy in red at the top. The 'model output' judges can read in 2 seconds.</t>
  </si>
  <si>
    <t>Act 5 / slide 12</t>
  </si>
  <si>
    <t>MAP</t>
  </si>
  <si>
    <t>World production+risk map</t>
  </si>
  <si>
    <t>Choropleth: countries shaded by staple production; overlay/second layer = forest loss or fragility exposure; ideally a 2000-&gt;2023 year slider.</t>
  </si>
  <si>
    <t>Tableau / Power BI (interactive) or Plotly</t>
  </si>
  <si>
    <t>The 'something you can click' judges reward (3rd-place winner's lesson). Drag the slider and watch production creep toward the risky producers. High effort, high reward.</t>
  </si>
  <si>
    <t>Act 2-3 / interactive</t>
  </si>
  <si>
    <t>PRESCRIPTION</t>
  </si>
  <si>
    <t>Reinforcement map / watchlist</t>
  </si>
  <si>
    <t>For each fragile crop, arrows or a small table: top producer (at risk) -&gt; the countries with latent capacity to reinforce it.</t>
  </si>
  <si>
    <t>Plotly / a clean table graphic</t>
  </si>
  <si>
    <t>Makes the PRESCRIPTION tangible — 'rice -&gt; Indonesia, Myanmar'. Turns diagnosis into an actionable plan on screen. Strong for the 'practical application' score.</t>
  </si>
  <si>
    <t>Act 5 / slide 13</t>
  </si>
  <si>
    <t>STRETCH</t>
  </si>
  <si>
    <t>Per-country trend lines</t>
  </si>
  <si>
    <t>Annual output 2000-2023, one line per country (the 10). Shows steady giants vs volatile risers vs flat.</t>
  </si>
  <si>
    <t>Supports the volatility point; nice but secondary. Argentina's 2023 crash is visible.</t>
  </si>
  <si>
    <t>Act 2 (optional)</t>
  </si>
  <si>
    <t>Partial-shock table/heatmap</t>
  </si>
  <si>
    <t>Crops x shock levels (-20/-35/-50%), green=covered / red=gap.</t>
  </si>
  <si>
    <t>Excel conditional format</t>
  </si>
  <si>
    <t>Shows the finding survives a REALISTIC shock, not just a total wipeout. Good for the depth score if there's room.</t>
  </si>
  <si>
    <t>Act 4 (optional)</t>
  </si>
  <si>
    <t>Pipeline / DQ diagram</t>
  </si>
  <si>
    <t>raw 78,974 rows -&gt; clean 195-country master -&gt; DMBOK 99.6%. A simple flow.</t>
  </si>
  <si>
    <t>PowerPoint shapes</t>
  </si>
  <si>
    <t>Aimed at the data-engineering judge (Hegde) — 'show the pipeline'. Cheap to make, signals rigor.</t>
  </si>
  <si>
    <t>Approach / slide 4</t>
  </si>
  <si>
    <t>TOOL PICK: charts -&gt; Python (matplotlib/plotly) for reproducibility + polish, OR Excel if faster for your team. Interactive MAP -&gt; Tableau or Power BI (the clickable deliverable judges reward). Both are fine; a clean Python chart beats a messy dashboard. Don't build a dashboard you can't explain.</t>
  </si>
  <si>
    <t>SLIDES — what A screen-shares at each beat (~12 slides + live tool)</t>
  </si>
  <si>
    <t>Slide name</t>
  </si>
  <si>
    <t>Content</t>
  </si>
  <si>
    <t>Design note</t>
  </si>
  <si>
    <t>Toolkit section</t>
  </si>
  <si>
    <t>Title card (cold open)</t>
  </si>
  <si>
    <t>'STAPLE FRAGILITY INDEX' on dark/black. No team name yet.</t>
  </si>
  <si>
    <t>Cinematic. One line, big. Music underneath.</t>
  </si>
  <si>
    <t>Team Intro</t>
  </si>
  <si>
    <t>Team</t>
  </si>
  <si>
    <t>2 names, background highlights, GROW track badge.</t>
  </si>
  <si>
    <t>Clean, 10 sec on screen.</t>
  </si>
  <si>
    <t>The challenge</t>
  </si>
  <si>
    <t>+58% staple output. 'Sounds safe.' Then shrinks to +21% per person.</t>
  </si>
  <si>
    <t>Two numbers. Animate the shrink.</t>
  </si>
  <si>
    <t>Problem Statement</t>
  </si>
  <si>
    <t>The question + persona</t>
  </si>
  <si>
    <t>'If a top producer fails, can the rest cover it?' + risk-officer persona card.</t>
  </si>
  <si>
    <t>One question, one persona. Simple.</t>
  </si>
  <si>
    <t>Pipeline / data sources</t>
  </si>
  <si>
    <t>Raw 78K → 195 countries → 10 crops → DMBOK 99.6%. FAOSTAT logos (QCL, RL, RFN).</t>
  </si>
  <si>
    <t>Flow diagram. Show scale + quality.</t>
  </si>
  <si>
    <t>Methodology</t>
  </si>
  <si>
    <t>Workflow</t>
  </si>
  <si>
    <t>Decompose → Cost → Resilience → Fragility Index. Four boxes, arrows.</t>
  </si>
  <si>
    <t>Keep it to 4 steps, not 10.</t>
  </si>
  <si>
    <t>Obstacles</t>
  </si>
  <si>
    <t>'Water: tested, excluded.' 'Aggregates: caught, fixed.' Two lines, honest.</t>
  </si>
  <si>
    <t>Brief. Confidence &gt; detail.</t>
  </si>
  <si>
    <t>Area-vs-yield chart</t>
  </si>
  <si>
    <t>Stacked bars, 8 countries. Brazil all-amber, US all-green.</t>
  </si>
  <si>
    <t>Pre-built PNG. Label the two camps.</t>
  </si>
  <si>
    <t>Key Findings</t>
  </si>
  <si>
    <t>Resilience bar</t>
  </si>
  <si>
    <t>Argentina + Fragility Index</t>
  </si>
  <si>
    <t>11</t>
  </si>
  <si>
    <t>[LIVE TOOL]</t>
  </si>
  <si>
    <t>Switch to Streamlit / Power BI. B clicks Rice, then Soybeans.</t>
  </si>
  <si>
    <t>NOT a slide. Live screen share. One take.</t>
  </si>
  <si>
    <t>Solution/Tool</t>
  </si>
  <si>
    <t>12</t>
  </si>
  <si>
    <t>Recommendations</t>
  </si>
  <si>
    <t>3 bullets: watchlist in contracts, invest in reinforcement countries, sub-national data.</t>
  </si>
  <si>
    <t>Clean, readable. 15 sec on screen.</t>
  </si>
  <si>
    <t>13</t>
  </si>
  <si>
    <t>Future directions</t>
  </si>
  <si>
    <t>3 bullets: FBS safe-to-export, Aqueduct water, time-series fragility.</t>
  </si>
  <si>
    <t>Quick. 10 sec.</t>
  </si>
  <si>
    <t>14</t>
  </si>
  <si>
    <t>End card</t>
  </si>
  <si>
    <t>Team name, GitHub, tool URL, 'All data: FAOSTAT'.</t>
  </si>
  <si>
    <t>Hold 5 sec. Music fades. No 'thank you'.</t>
  </si>
  <si>
    <t>Conclusion</t>
  </si>
  <si>
    <t>RULES OF THUMB: one message per slide. Every number gets a plain-language sentence. Don't show a chart you don't explain. Judges reward clarity for a NON-TECHNICAL viewer — a person with no data background should follow it start to finish. Visuals needed (3 core): area-vs-yield matrix, cropland-vs-forest scatter, resilience/fragility bars.</t>
  </si>
  <si>
    <t>Full regenerated set — 3-yr avg 2021–2023 basis</t>
  </si>
  <si>
    <t>RESILIENCE BY CROP</t>
  </si>
  <si>
    <t>Top producer</t>
  </si>
  <si>
    <t>Loss (Mt)</t>
  </si>
  <si>
    <t>Backfill capacity (Mt)</t>
  </si>
  <si>
    <t>Producers needed</t>
  </si>
  <si>
    <t>Coverable</t>
  </si>
  <si>
    <t>all insufficient</t>
  </si>
  <si>
    <t>NO</t>
  </si>
  <si>
    <t>FRAGILITY INDEX (band from ratio; 0-100 score = team transform)</t>
  </si>
  <si>
    <t>Exposure (top share %)</t>
  </si>
  <si>
    <t>Hazard (volatility %)</t>
  </si>
  <si>
    <t>Buffer (resilience ratio)</t>
  </si>
  <si>
    <t>PARTIAL-SHOCK COVERAGE</t>
  </si>
  <si>
    <t>Top output (Mt)</t>
  </si>
  <si>
    <t>-20% shock</t>
  </si>
  <si>
    <t>-35% shock</t>
  </si>
  <si>
    <t>-50% shock</t>
  </si>
  <si>
    <t>-100% shock</t>
  </si>
  <si>
    <t>covered</t>
  </si>
  <si>
    <t>GAP</t>
  </si>
  <si>
    <t>INDEX VALIDATION (fails at -35%?)</t>
  </si>
  <si>
    <t>Fails at -35%?</t>
  </si>
  <si>
    <t>yes</t>
  </si>
  <si>
    <t>no</t>
  </si>
  <si>
    <t>HISTORICAL WORST 1-YEAR DROPS</t>
  </si>
  <si>
    <t>Worst 1-yr drop %</t>
  </si>
  <si>
    <t>Worst drop year</t>
  </si>
  <si>
    <t>Volatility (std %)</t>
  </si>
  <si>
    <t>PRESCRIPTION — reinforcement for High crops</t>
  </si>
  <si>
    <t>Crop (fragile)</t>
  </si>
  <si>
    <t>Reinforcement rank</t>
  </si>
  <si>
    <t>Latent capacity (Mt)</t>
  </si>
  <si>
    <t>Cuba</t>
  </si>
  <si>
    <t>PRESENTATION OUTLINE COMPLIANCE — every required section mapped to our video</t>
  </si>
  <si>
    <t>VIDEO SCRIPT — 'The Briefing' (restructured to hit every required section, 7:00 cap)</t>
  </si>
  <si>
    <t>A = Analyst (screen share, data)  ·  B = Risk Officer (questions, camera, tool demo).  Dialogue is natural — memorize the beats, not the exact words. Required toolkit sections noted in brackets.</t>
  </si>
  <si>
    <t>Time</t>
  </si>
  <si>
    <t>Section / beat</t>
  </si>
  <si>
    <t>Who</t>
  </si>
  <si>
    <t>Dialogue (FINAL)</t>
  </si>
  <si>
    <t>On screen</t>
  </si>
  <si>
    <t>COLD OPEN</t>
  </si>
  <si>
    <t>Keasha</t>
  </si>
  <si>
    <t>(news anchor tone): "In 2023, India banned rice exports — global prices jumped 20% overnight. That same year, Argentina lost 43% of its soybeans to a single drought.
Two unrelated events. Two staple crops that point to the same question: when a major producer fails, can the rest of the world cover the gap?"</t>
  </si>
  <si>
    <t>TEAM + BACKGROUNDS</t>
  </si>
  <si>
    <t>Both</t>
  </si>
  <si>
    <t>THE CHALLENGE</t>
  </si>
  <si>
    <t>Gabs</t>
  </si>
  <si>
    <t>THE QUESTION + STAKEHOLDER</t>
  </si>
  <si>
    <t>DATA + TOOLS</t>
  </si>
  <si>
    <t xml:space="preserve">"Everything comes from FAOSTAT — the UN Food &amp; Agriculture Organization's open data.
</t>
  </si>
  <si>
    <t>WORKFLOW</t>
  </si>
  <si>
    <t>GROWTH + CONCENTRATION</t>
  </si>
  <si>
    <t>THE TURN</t>
  </si>
  <si>
    <t>RESILIENCE</t>
  </si>
  <si>
    <t>PROOF + INDEX</t>
  </si>
  <si>
    <t>TOOL INTRO</t>
  </si>
  <si>
    <t>"Now let's show you what a risk officer would actually see when using it."
[Demo]</t>
  </si>
  <si>
    <t>TOOL DEMO</t>
  </si>
  <si>
    <t>TOOL SIGNIFICANCE</t>
  </si>
  <si>
    <t>RECOMMENDATIONS</t>
  </si>
  <si>
    <t xml:space="preserve">"Three recommendations."
"First — screen for fragility, not just price.
"Second — identify the backup before you need it. 
"Third — turn the score into an early-warning system. </t>
  </si>
  <si>
    <t>CLOSE</t>
  </si>
  <si>
    <t>K: “When a major producer is disrupted, the time to discover your dependency isn't after the shortage starts. Our model gives the risk officer the watchlist before the shock happens.
G: “That's what's cooking in the world's staple crops. Know where the system is fragile. Know where the backup could come from. And stop treating staple-crop risk like a game of chance.”</t>
  </si>
  <si>
    <t>END CARD</t>
  </si>
  <si>
    <t>Team name + GitHub URL + tool URL + sources (FAOSTAT). Music fades.</t>
  </si>
  <si>
    <t>TOTAL: ~6:45 in the final cut (Column E — ‘Dialogue (FINAL)’). The OBSTACLES beat is cut — folded into the data step and the scope note. The TOOL DEMO is the make-or-break — rehearse it 5 times. End on Gabrielle’s ‘staple-crop roulette’ line, not ‘thank you.’</t>
  </si>
  <si>
    <t>GITHUB — how to set up the public repo (judges reward this; most teams skip it)</t>
  </si>
  <si>
    <t>1. Create a free account &amp; a public repo</t>
  </si>
  <si>
    <t>Go to github.com, sign up (free). Click the '+' (top right) -&gt; New repository. Name it e.g. 'query-queens-food-resilience'. Set it PUBLIC. Tick 'Add a README'. Create.</t>
  </si>
  <si>
    <t>2. Understand the 3 ways to upload (easiest first)</t>
  </si>
  <si>
    <t>EASIEST (no install): on the repo page click 'Add file' -&gt; 'Upload files' -&gt; drag your scripts + data + notebook in -&gt; 'Commit changes'. That's it. (Alternatives: GitHub Desktop app, or git command line — only if a teammate knows them.)</t>
  </si>
  <si>
    <t>3. Folder structure to use</t>
  </si>
  <si>
    <t>/scripts  (build_master.py, integrate_land_use.py, integrate_fertilizer.py, resilience.py, build_fragility_index.py, build_analysis.py)  ·  /data  (the RAW FAOSTAT files + Master_clean.xlsx + the evidence/output files)  ·  /notebooks  (any Colab .ipynb, exported)  ·  /outputs  (charts, the fragility index xlsx)  ·  README.md at the root.</t>
  </si>
  <si>
    <t>4. What the README should say</t>
  </si>
  <si>
    <t>Project title + one-line pitch. The question. Data sources (all FAOSTAT: QCL, RL, RFN, TM + links). How to reproduce: 'run build_master.py, then build_analysis.py / build_fragility_index.py'. Key findings (the 5 headline numbers). Team names. This README is what a judge reads first — make it clear.</t>
  </si>
  <si>
    <t>5. Data size caveat</t>
  </si>
  <si>
    <t>GitHub blocks single files &gt; 100 MB. FAOSTAT bulk files can be large. If a raw file is too big: (a) zip it, or (b) don't upload the giant raw file — upload the CLEAN master + the scripts + a note in the README with the FAOSTAT download link so anyone can re-pull the raw. Reproducible either way.</t>
  </si>
  <si>
    <t>6. Make it look finished</t>
  </si>
  <si>
    <t>Add a short 'How to run' section, and paste one key chart image into the README (drag an image into the README editor). A repo with a chart + clear run steps signals the rigor the data-engineering judge (Hegde) is specifically looking for.</t>
  </si>
  <si>
    <t>7. Put the link in the deck</t>
  </si>
  <si>
    <t>Add the repo URL to your closing slide and the video end card. 'Code + cleaned data: github.com/...' The public repo is an explicit past-winner checklist item — it's easy points most teams leave on the table.</t>
  </si>
  <si>
    <t>HOW WE SCORE — official criteria, our self-score, and what covers each</t>
  </si>
  <si>
    <t>Self-scored against the WiD 2026 toolkit. Analytical criteria are strong and done; PRESENTATION is the swing (the video isn't built yet). Honest self-scores keep us calibrated — judges reward calibration.</t>
  </si>
  <si>
    <t>CRITERIA</t>
  </si>
  <si>
    <t>Criterion</t>
  </si>
  <si>
    <t>Weight</t>
  </si>
  <si>
    <t>Self-score</t>
  </si>
  <si>
    <t>What the toolkit asks</t>
  </si>
  <si>
    <t>What covers it</t>
  </si>
  <si>
    <t>Gap / risk to close</t>
  </si>
  <si>
    <t>Depth of Analysis</t>
  </si>
  <si>
    <t>35%</t>
  </si>
  <si>
    <t>~31/35</t>
  </si>
  <si>
    <t>Thoroughness, insightfulness, comprehensiveness within the chosen track.</t>
  </si>
  <si>
    <t>Single-track (GROW) by design - comprehensiveness comes from the cost/resilience/fragility layers, not extra tracks. State that as a deliberate choice.</t>
  </si>
  <si>
    <t>Practical Application</t>
  </si>
  <si>
    <t>30%</t>
  </si>
  <si>
    <t>~27/30</t>
  </si>
  <si>
    <t>Relevance, practicality and impact of the recommendations.</t>
  </si>
  <si>
    <t>The Fragility Index PRESCRIBES named interventions (e.g. Indonesia/Myanmar reinforce rice, Argentina reinforce soy) with tonnes attached, tested inside the same model that produced the finding. The sourcing-manager persona ties it to a real decision.</t>
  </si>
  <si>
    <t>Make the recommendation land as an ACTION on a slide (a watchlist a buyer/policymaker could use), not just a table.</t>
  </si>
  <si>
    <t>Presentation Quality</t>
  </si>
  <si>
    <t>25%</t>
  </si>
  <si>
    <t>TBD</t>
  </si>
  <si>
    <t>Clarity, engagement, creativity.</t>
  </si>
  <si>
    <t>Plan: five acts, one model, one map - a non-technical viewer follows it without effort. Resilience/fragility bookends; growth-&gt;concentration-&gt;cost spine.</t>
  </si>
  <si>
    <t>THE SWING. The video isn't built yet - this quarter of the score is entirely open. Priority #1. Keep it under 7 min; open on the fragility hook.</t>
  </si>
  <si>
    <t>Originality &amp; Innovation</t>
  </si>
  <si>
    <t>10%</t>
  </si>
  <si>
    <t>~9/10</t>
  </si>
  <si>
    <t>Uniqueness of the insights and recommendations.</t>
  </si>
  <si>
    <t>A novel chain: how the world GREW its food -&gt; the COST of each path -&gt; a Fragility Index that shows the most important staples are the LEAST able to survive a shock, and prescribes the fix. Every input is measured (transparent index, not a black box).</t>
  </si>
  <si>
    <t>Our ORIGINAL line is the fragility chain - NOT the old water framing (we pivoted away from water). Frame the novelty around the index.</t>
  </si>
  <si>
    <t>TOTAL</t>
  </si>
  <si>
    <t>100%</t>
  </si>
  <si>
    <t>~78-83 + presentation</t>
  </si>
  <si>
    <t>WHAT PAST WINNERS DID</t>
  </si>
  <si>
    <t>Winner</t>
  </si>
  <si>
    <t>What they built</t>
  </si>
  <si>
    <t>What we take from it</t>
  </si>
  <si>
    <t>1st, 2025</t>
  </si>
  <si>
    <t>Cleaned 9M rows, invented their own ratio, mapped it, recommended standards. No ML.</t>
  </si>
  <si>
    <t>Row-scale + an invented metric beat model complexity. OUR Fragility Index is that ratio - say the pipeline count out loud (raw 78,974 rows -&gt; clean 195-country master).</t>
  </si>
  <si>
    <t>2nd, 2025</t>
  </si>
  <si>
    <t>Dashboards + predictive models; logistic regression beat the fancier alternatives.</t>
  </si>
  <si>
    <t>3rd, 2025</t>
  </si>
  <si>
    <t>XGBoost at 0.90 + a tool users could type into.</t>
  </si>
  <si>
    <t>The most advanced model finished LAST; the usable tool got noticed. Build the map / watchlist people can read.</t>
  </si>
  <si>
    <t>Past winner, her words</t>
  </si>
  <si>
    <t>Novel dataset, everyone's strength used, ML, strong visuals + storytelling, code + data public on GitHub.</t>
  </si>
  <si>
    <t>This is our checklist. The GitHub repo (deterministic build script + DMBOK DQ scorecard) is the step almost every team skips - it's aimed straight at the data-engineering judge.</t>
  </si>
  <si>
    <t>THE JUDGES — what each looks for, and how we answer it</t>
  </si>
  <si>
    <t>Judge</t>
  </si>
  <si>
    <t>What they look for</t>
  </si>
  <si>
    <t>How our project answers it</t>
  </si>
  <si>
    <t>Lakshmi Devulapalli</t>
  </si>
  <si>
    <t>Head of Data &amp; AI, Limoneira (farmland + water rights, US/Chile/Argentina).</t>
  </si>
  <si>
    <t>Whether our land/water assumptions are realistic and the data model holds up.</t>
  </si>
  <si>
    <t>Our honesty caveats: national forest is imputed &amp; inferred to crop level; water TESTED and dropped with a stated reason. We show the assumptions, not hide them.</t>
  </si>
  <si>
    <t>Hoda Helmi</t>
  </si>
  <si>
    <t>Director of AI &amp; Decision Science, Corteva (seed &amp; crop protection).</t>
  </si>
  <si>
    <t>Whether the model changes a real planting or sourcing decision.</t>
  </si>
  <si>
    <t>The Fragility Index prescription names WHICH countries should build capacity for WHICH crop - a planting/sourcing decision. The persona is a sourcing manager.</t>
  </si>
  <si>
    <t>Kristi Baishya</t>
  </si>
  <si>
    <t>Senior PM Technical, Amazon Supply Chain Optimization (forecasting).</t>
  </si>
  <si>
    <t>Hidden dependency, forecast rigor, honest uncertainty; she will check our validation.</t>
  </si>
  <si>
    <t>Shrividya Hegde</t>
  </si>
  <si>
    <t>Senior AI Data Engineer.</t>
  </si>
  <si>
    <t>Data quality, scale, reproducibility - show the pipeline, don't hide it.</t>
  </si>
  <si>
    <t>Deterministic build_master.py (one script, no hand-edits), a DMBOK DQ scorecard (~99.6%), cleaning log with row counts, and a public GitHub repo. The pipeline IS the story for her.</t>
  </si>
  <si>
    <t>SUBMISSION CHECKLIST (from the toolkit — don't lose easy points)</t>
  </si>
  <si>
    <t>[ ]  Video &lt;= 7 minutes, submitted as a video file</t>
  </si>
  <si>
    <t>TO DO — the single biggest open item</t>
  </si>
  <si>
    <t>[ ]  Presentation covers: team -&gt; problem/stakeholder -&gt; approach/tools -&gt; insights with visuals -&gt; key findings -&gt; actionable next steps</t>
  </si>
  <si>
    <t>Map our 5 acts to this exact outline</t>
  </si>
  <si>
    <t>[ ]  Sources cited in the presentation</t>
  </si>
  <si>
    <t>All FAOSTAT (QCL, RL, RFN, TM) - one sources slide</t>
  </si>
  <si>
    <t>[ ]  Public GitHub repo with code + cleaned data</t>
  </si>
  <si>
    <t>Build scripts + evidence file + clean master. HIGH VALUE for the data judge</t>
  </si>
  <si>
    <t>[ ]  Name a specific stakeholder (persona)</t>
  </si>
  <si>
    <t>Sourcing manager - keep it, tie it to the fragility watchlist</t>
  </si>
  <si>
    <t>[ ]  Lead with the single most important insight</t>
  </si>
  <si>
    <t>[ ]  Deadline: 15 Sept, 8:00 PM ET — one submission only</t>
  </si>
  <si>
    <t>Buffer a day; do not plan work for the 15th</t>
  </si>
  <si>
    <t>BOTTOM LINE: analysis scores strong on Depth (35%), Practical (30%) and Originality (10%) - the three we control are largely banked. The 25% for Presentation is entirely unbuilt and is the whole swing. Everything from here is the video, the map, and the GitHub repo.</t>
  </si>
  <si>
    <t>We rebuilt the master deterministically from the raw FAOSTAT production file (195 cleaned reporting countries; project DMBOK-style DQ score ≈99.6%). LAND PATH → FOREST: using FAOSTAT Land Use, the final 2000→2023 cleaned-country analysis gives r=-0.36 across 190 countries (p≈3.49e-7); countries that expanded cropland more tended to lose more forest. Brazil accounts for nearly 35% of the forest loss in our project dataset. YIELD PATH → FERTILIZER: the final 2023 six-cereal cross-section gives r=+0.58 across 173 countries (p≈4.40e-17). The earlier +0.51 result is reproducible under an older five-crop scope and is retained in the audit trail as a superseded method. Both are associations, not causal estimates. WATER was tested and excluded; basin-level data are a future extension.</t>
  </si>
  <si>
    <t>Growth, concentration and cost lead to one question: if the world leans on a few producers, can it survive losing one? Using a 2021–2023 recent-production baseline and demonstrated historical headroom elsewhere, 6 of 10 crops have a resilience ratio below 1. Rice is 0.29 (China), soybeans 0.31 (Brazil), maize 0.33 (USA), sugarcane 0.36 (Brazil), cassava 0.79 (Nigeria), and wheat 0.99 (China). The 35% shock is an intuitive scenario check, while sensitivity analysis tests robustness of the CFI weighting choices.</t>
  </si>
  <si>
    <t>The world grows more staple food than ever. But if a leading producer were disrupted, could the rest cover the gap? Under the final 2021–2023 baseline, 6 of 10 crops have a resilience ratio below 1. The project turns that structural dependency into a transparent Crop Fragility Index.</t>
  </si>
  <si>
    <t>- Four countries — Brazil, India, China and the U.S. — account for roughly 64% of positive production growth across the 10-crop basket.
- Growth paths differ: Brazil is strongly land-led; India, China and the U.S. are predominantly yield-led.
- Land pressure: cropland-vs-forest r=-0.36 across 190 countries; association, not causation.
- Input pressure: fertilizer-vs-national cereal yield r=+0.58 across 173 countries; earlier +0.51 reconciled as an older five-crop method.
- Resilience: 6 of 10 crops have ratio &lt;1 under the 2021–2023 baseline.
- CFI High: Soybeans, Rice, Maize, Sugarcane. Cassava Moderate; Wheat Low; four crops structurally buffered.</t>
  </si>
  <si>
    <t>Land-pressure association: cropland change vs forest change, 2000→2023 (r≈-0.36; n=190).</t>
  </si>
  <si>
    <t>Final input-pressure method: 2023 fertilizer intensity vs aggregate national yield across six cereals (r≈+0.58; n=173). Earlier +0.51 five-crop scope retained in audit trail.</t>
  </si>
  <si>
    <t>Land pressure (RL): r≈-0.36, n=190.</t>
  </si>
  <si>
    <t>Yield/input pressure (RFN + QCL). Final r≈+0.58, n=173; earlier +0.51 method archived.</t>
  </si>
  <si>
    <t>6 of 10 have resilience ratio &lt;1 under final baseline.</t>
  </si>
  <si>
    <t>r = −0.36 (p≈3.49e-7), n=190</t>
  </si>
  <si>
    <t>Pearson(dCropland, dForest), 2000→2023, cleaned-master country whitelist</t>
  </si>
  <si>
    <t>src/03_analyze_growth_costs.py</t>
  </si>
  <si>
    <t>−68,122 (1000 ha), nearly 35% of gross forest loss in project dataset</t>
  </si>
  <si>
    <t>forest_2023 − forest_2000; national forest measure</t>
  </si>
  <si>
    <t>r = +0.58 (p≈4.40e-17), n=173</t>
  </si>
  <si>
    <t>RFN + QCL</t>
  </si>
  <si>
    <t>2023 fertilizer intensity vs aggregate national yield across 6 cereals</t>
  </si>
  <si>
    <t>Rice 0.29, Soy 0.31, Maize 0.33, Sugarcane 0.36, Cassava 0.79, Wheat 0.99…</t>
  </si>
  <si>
    <t>backfill capacity / leading-producer 2021–2023 average output</t>
  </si>
  <si>
    <t>src/04_build_cfi_final.py</t>
  </si>
  <si>
    <t>Σ over other producers</t>
  </si>
  <si>
    <t>Σ max(peak_through_2023 − recent_2021_23_avg, 0) over all other producers</t>
  </si>
  <si>
    <t>#1 producer's 2021–2023 average output</t>
  </si>
  <si>
    <t>max(country recent-average output) per crop</t>
  </si>
  <si>
    <t>6 of 10 (ratio &lt; 1)</t>
  </si>
  <si>
    <t>count(final resilience ratio &lt; 1)</t>
  </si>
  <si>
    <t>35% scenario leaves Rice, Maize and Soybeans with gaps; Sugarcane's ratio≈0.36 is just above 35%</t>
  </si>
  <si>
    <t>scenario coverage; not independent validation</t>
  </si>
  <si>
    <t>Top-producer downside volatility is used in CFI; historical worst drops are contextual evidence</t>
  </si>
  <si>
    <t>RMS downside volatility + historical YoY context</t>
  </si>
  <si>
    <t>forest r≈−0.36; fertilizer/cereal yield r≈+0.58</t>
  </si>
  <si>
    <t>Correlate 2000→2023 changes across cleaned-master countries (r≈-0.36; n=190); quadrants + examples.</t>
  </si>
  <si>
    <t>Final 2023 six-cereal fertilizer/yield association r≈+0.58; retain older +0.51 scope in audit trail.</t>
  </si>
  <si>
    <t>Final resilience ratio + reinforcement capacity using 2021–2023 baseline (6 of 10 ratio&lt;1).</t>
  </si>
  <si>
    <t>SECTION SUMMARY: Land-expansion path → forest pressure: cropland gain and forest loss are negatively associated (r=-0.36, p≈3.49e-7, n=190). Yield-intensification path → input pressure: 2023 fertilizer intensity and national six-cereal yield are positively associated (r=+0.58, p≈4.40e-17, n=173). The earlier +0.51 is preserved as an older five-crop method. Water was tested and excluded.</t>
  </si>
  <si>
    <t>Across 190 countries meeting the final 2000/2023 endpoint rule and retained in the cleaned production-master country universe, cropland change vs forest change correlates at r=-0.36 (p≈3.49e-7). Brazil is the largest contributor to gross forest loss in the project dataset, accounting for nearly 35%. Caveat: national forest is a net stock measure and the crop link is inferred from production/area analysis.</t>
  </si>
  <si>
    <t>Partly. In the final 2023 six-cereal cross-section, national fertilizer intensity and national aggregate cereal yield are positively associated (r=+0.58, p≈4.40e-17, n=173). The older +0.51 result is reproducible under the earlier five-crop primary scope and is archived in the DQ audit. This does NOT prove fertilizer caused the yield difference, and it does not cleanly split the country growth-path camps.</t>
  </si>
  <si>
    <t>Yes, moderately and statistically strongly: Pearson r=-0.36 (p≈3.49e-7), n=190. An earlier much stronger pseudo-correlation was inflated by aggregate reporting areas. The final statistic uses the cleaned production-master country whitelist and 2000→2023 endpoints.</t>
  </si>
  <si>
    <t>The final headline correlation uses 190 complete-case countries. Counter-examples remain important: cropland expansion does not automatically imply forest loss, so the result is an association across countries, not a causal statement about every expansion episode.</t>
  </si>
  <si>
    <t>SECTION SUMMARY: Under the final 2021–2023 baseline, 6 of 10 crops have resilience ratio &lt;1. Rice, soybeans, maize and sugarcane rank High on the final CFI; cassava is Moderate; wheat is Low; potatoes, millet, barley and sorghum are structurally buffered. The 35% shock is a scenario/reality check; sensitivity analysis is the robustness test.</t>
  </si>
  <si>
    <t>For 6 of 10 crops, the final resilience ratio is below 1: Rice 0.29 (China), Soybeans 0.31 (Brazil), Maize 0.33 (USA), Sugarcane 0.36 (Brazil), Cassava 0.79 (Nigeria), Wheat 0.99 (China). Potatoes 1.01, Millet 1.14, Barley 2.63 and Sorghum 3.49 are structurally buffered. This is production-capacity headroom, not guaranteed exportable supply.</t>
  </si>
  <si>
    <t>How does real-world evidence contextualize the resilience finding beyond the model?</t>
  </si>
  <si>
    <t>Real-world droughts, policy restrictions and conflict show that large supply shocks do occur, but they should be treated as context rather than as independent validation of the CFI. The final model's top producer is determined from the 2021–2023 production baseline; trade shocks are a separate mechanism because producer leadership does not necessarily equal exporter leadership. Keep the 35% shock as a scenario/reality check and use the 180-run sensitivity analysis as the formal robustness evidence for weighting choices.</t>
  </si>
  <si>
    <t>1) RECENT BASELINE: use each country's 2021–2023 average output. 2) THE SHOCK: remove the leading producer's recent-average output. 3) THE BACKFILL: for every OTHER producer, take max(historical peak through 2023 − recent average, 0) and sum it. 4) THE RATIO: backfill ÷ leading-producer recent output. Demonstrated peak is evidence of past capacity, not a guarantee it can ramp immediately.</t>
  </si>
  <si>
    <t>For 6 of 10 staples, the resilience ratio is below 1.0 under the final 2021–2023 baseline. The deepest structural gaps are Rice 0.29 (China), Soybeans 0.31 (Brazil), Maize 0.33 (USA), Sugarcane 0.36 (Brazil), Cassava 0.79 (Nigeria), and Wheat 0.99 (China). Potatoes 1.01, Millet 1.14, Barley 2.63 and Sorghum 3.49 are structurally buffered in this production-capacity model.</t>
  </si>
  <si>
    <t>SCENARIO / REALITY CHECK (not independent validation)</t>
  </si>
  <si>
    <t>Historical shocks show that large production declines occur, and the dashboard tests partial shocks such as 35%. But shock coverage is mechanically linked to the same backfill estimate used in the resilience ratio, so it is a scenario/reality check rather than independent validation. Model-weight sensitivity is the separate robustness test.</t>
  </si>
  <si>
    <t>Canonical script: src/04_build_cfi_final.py  ·  Outputs: outputs/cfi_results.csv, reinforcement_capacity.csv, shock_coverage.csv, sensitivity_analysis.csv  ·  Dashboard: app.py.</t>
  </si>
  <si>
    <t>COVER</t>
  </si>
  <si>
    <t>Ratio = Backfill ÷ leading-producer recent output. Recent output = 2021–2023 average. Backfill = Σ over OTHER producers of max(historical peak through 2023 − recent average, 0). Ratio ≥1 = structurally buffered in this production-capacity model. Source: FAOSTAT QCL. Canonical script: src/04_build_cfi_final.py.</t>
  </si>
  <si>
    <t>We deliberately use a transparent decision-support index rather than a black-box production forecast. Every component is observable or directly derived from FAOSTAT. Sensitivity analysis tests whether rankings depend heavily on one arbitrary weighting choice.</t>
  </si>
  <si>
    <t>CROP FRAGILITY INDEX combines: 1) EXPOSURE = leading producer's share of recent world output. 2) DOWNSIDE RISK = RMS of negative annual production changes for that producer (positive years set to zero). 3) BUFFER = resilience ratio. Structural shortfall S=max(0,1−B) is the anchor. E*=min(Exposure/50%,1); D*=min(Downside/20%,1); H=.5E*+.5D*; CFI=100×S×(.70+.30H). A ratio ≥1 produces CFI=0 ('Structurally buffered'), not 'risk-free'.</t>
  </si>
  <si>
    <t>HIGH: Soybeans, Rice, Maize, Sugarcane. MODERATE: Cassava. LOW: Wheat. STRUCTURALLY BUFFERED (CFI=0): Potatoes, Millet, Barley, Sorghum.</t>
  </si>
  <si>
    <t>HOW WE TEST ROBUSTNESS</t>
  </si>
  <si>
    <t>We run 180 sensitivity combinations across structural weight, exposure weight, exposure cap and downside cap. The main high-fragility crops remain near the top. The 35% shock is shown separately as an intuitive scenario/reality check, not as independent validation of the index.</t>
  </si>
  <si>
    <t>The same production-capacity model identifies countries with the largest demonstrated headroom. These are reinforcement markets to investigate — not guaranteed suppliers. For Rice the leading capacity signals include India, Indonesia, Thailand, Myanmar and Brazil; for Soybeans they include Argentina, the United States, Paraguay, China and Uruguay. Trade access, inventories, logistics and policy still require separate analysis.</t>
  </si>
  <si>
    <t>Canonical script: src/04_build_cfi_final.py  ·  Outputs: cfi_results.csv, reinforcement_capacity.csv, shock_coverage.csv, sensitivity_analysis.csv  ·  Dashboard: app.py.</t>
  </si>
  <si>
    <t>Exposure = leading producer share of 2021–2023 average world output. Downside risk = RMS of negative YoY production changes. Buffer = resilience ratio. E*=min(Exposure/50%,1); D*=min(Downside/20%,1); bufN=max(0,1−ratio). Score = 100×bufN×(0.70+0.30×(0.50E*+0.50D*)). Bands: 50+ High; 20–49.9 Elevated; 5–19.9 Moderate; &gt;0–4.9 Low; 0 Structurally buffered.</t>
  </si>
  <si>
    <t>Reshapes land-use data and supports the final 2000→2023 cleaned-country cropland/forest correlation (r≈-0.36), quadrants and examples.</t>
  </si>
  <si>
    <t>N+P+K per ha of cropland; final 2023 six-cereal fertilizer/yield association r≈+0.58 (n=173). Earlier +0.51 five-crop scope documented in DQ audit.</t>
  </si>
  <si>
    <t>Final backfill = demonstrated peak − 2021–2023 recent average; ratio = backfill / leading-producer recent average; 6 of 10 crops ratio&lt;1.</t>
  </si>
  <si>
    <t>Use the final resilience ratios: six bars below 1.0. Rice 0.29 is the clearest structural-gap example.</t>
  </si>
  <si>
    <t>Use the final r=-0.36, n=190 scatter. Keep counter-examples visible to reinforce that the relationship is associative, not deterministic.</t>
  </si>
  <si>
    <t>190 countries, Brazil bottom-right. r = -0.36.</t>
  </si>
  <si>
    <t>THE visual slide. Full screen.</t>
  </si>
  <si>
    <t>Horizontal resilience bars, line at 1.0. Six below the line. Rice 0.29.</t>
  </si>
  <si>
    <t>Use final 2021–2023 baseline values. Pause.</t>
  </si>
  <si>
    <t>Shock context + final CFI ranking. High: Soybeans, Rice, Maize, Sugarcane.</t>
  </si>
  <si>
    <t>Call 35% a scenario/reality check, not validation.</t>
  </si>
  <si>
    <t>2000–2023 headline window, deterministic cleaning, exact area/yield decomposition, two audited associations (forest r=-0.36, n=190; fertilizer/cereal yield r=+0.58, n=173), final resilience layer, transparent CFI and 180-run sensitivity analysis.</t>
  </si>
  <si>
    <t>Transparent, testable models win. Our index is intentionally interpretable; we use sensitivity analysis to test robustness rather than calling scenario checks independent validation.</t>
  </si>
  <si>
    <t>This is our resilience + fragility work: hidden dependency (6 of 10 ratio&lt;1), a transparent index with sensitivity testing, scenario checks, and explicit limitations.</t>
  </si>
  <si>
    <t>Open on: 'for 6 of 10 crops, the rest of the world does not have enough demonstrated production headroom to fully replace the leading producer.'</t>
  </si>
  <si>
    <t>FINAL PROJECT AUDIT — 2026-09-14</t>
  </si>
  <si>
    <t>This sheet supersedes older numerical/method notes elsewhere in the roadmap where they conflict.</t>
  </si>
  <si>
    <t>Area</t>
  </si>
  <si>
    <t>Final status / correction</t>
  </si>
  <si>
    <t>Project spine</t>
  </si>
  <si>
    <t>Production → Growth &amp; Concentration → Growth Path → Cost/Pressure → Resilience → Crop Fragility Index → Action.</t>
  </si>
  <si>
    <t>Production window</t>
  </si>
  <si>
    <t>Use 2000–2023 for final headline analysis. 2024 may exist in source workbooks but is not used for final headline comparisons.</t>
  </si>
  <si>
    <t>Top-four growth concentration</t>
  </si>
  <si>
    <t>Brazil + India + China + United States ≈ 63.7% of positive country-level growth across all 10 crops. Say 'roughly 64%' or 'nearly two-thirds'.</t>
  </si>
  <si>
    <t>Land/forest correlation</t>
  </si>
  <si>
    <t>FINAL RERUN: Pearson r = -0.3595 (≈ -0.36), n=190 cleaned-master countries, p≈3.49e-07. Association, not causation.</t>
  </si>
  <si>
    <t>Fertilizer/yield correlation</t>
  </si>
  <si>
    <t>FINAL RERUN: Pearson r = +0.5822 (≈ +0.58), n=173 countries, p≈4.40e-17, using 2023 fertilizer intensity vs national aggregate yield across six cereals (Maize, Rice, Wheat, Sorghum, Millet, Barley). The older roadmap +0.51 is now reconciled: it reproduces as r=+0.5034, n=170, p≈2.63e-12 when the earlier five-crop primary scope (Rice, Sorghum, Soybeans, Wheat, Potatoes) is used. This is a scope/method revision, not a source-data correction.</t>
  </si>
  <si>
    <t>Growth-path decomposition</t>
  </si>
  <si>
    <t>Use symmetric exact decomposition. Brazil ≈84% land-led; India ≈83% yield-led; China ≈64% yield-led; U.S. ≈94% yield-led. Nigeria is mixed.</t>
  </si>
  <si>
    <t>Resilience baseline</t>
  </si>
  <si>
    <t>Use 2021–2023 average production, not a single 2023 endpoint, for the final app/CFI.</t>
  </si>
  <si>
    <t>Resilience result</t>
  </si>
  <si>
    <t>6 of 10 crops have resilience ratio &lt; 1 under the final recent-baseline model.</t>
  </si>
  <si>
    <t>Downside risk</t>
  </si>
  <si>
    <t>Use RMS downside volatility: positive annual production changes are set to zero. Do not call this ordinary volatility.</t>
  </si>
  <si>
    <t>CFI formula</t>
  </si>
  <si>
    <t>S=max(0,1-B); E*=min(Exposure/50%,1); D*=min(Downside/20%,1); H=.5E*+.5D*; CFI=100*S*(.70+.30H).</t>
  </si>
  <si>
    <t>CFI interpretation</t>
  </si>
  <si>
    <t>50+ High; 20–49.9 Elevated; 5–19.9 Moderate; &gt;0–4.9 Low; 0 Structurally buffered. Zero does NOT mean risk-free.</t>
  </si>
  <si>
    <t>35% shock</t>
  </si>
  <si>
    <t>Scenario/reality check only. It is not independent validation because it uses the same backfill-capacity estimate.</t>
  </si>
  <si>
    <t>Sensitivity</t>
  </si>
  <si>
    <t>180 combinations. Use sensitivity as robustness evidence; do not claim it proves the unique correctness of the 70/30 weights.</t>
  </si>
  <si>
    <t>Trade</t>
  </si>
  <si>
    <t>Supporting illustration / extension, NOT an input to CFI. Producer ≠ exporter for some crops. Raw trade XLSX is &gt;100 MB and may be Excel-row-limit truncated; do not upload it to GitHub.</t>
  </si>
  <si>
    <t>Water</t>
  </si>
  <si>
    <t>Tested and excluded from final model. National water stress was not discriminating enough; basin/sub-national water is a future extension.</t>
  </si>
  <si>
    <t>GitHub</t>
  </si>
  <si>
    <t>Upload app, cleaned masters, raw land/fertilizer inputs, canonical final scripts, outputs, methodology/DQ/limitations docs. Do not upload the 119 MB raw trade XLSX.</t>
  </si>
  <si>
    <t>Dashboard</t>
  </si>
  <si>
    <t>Streamlit app is complete and aligned to final 2021–2023 baseline CFI logic.</t>
  </si>
  <si>
    <t>Project completion</t>
  </si>
  <si>
    <t>Analysis + methodology + reproducibility + dashboard + GitHub package are complete. Remaining external task: upload repo/deploy Streamlit and, if applicable, finish presentation/video delivery.</t>
  </si>
  <si>
    <t>Correlation sample sizes</t>
  </si>
  <si>
    <t>Do not force a common n. Land/forest has n=190 because it requires 2000/2023 land endpoints; fertilizer/yield has n=173 because it requires 2023 fertilizer plus positive production/area in the six-cereal basket.</t>
  </si>
  <si>
    <t>Data-quality audit workbook</t>
  </si>
  <si>
    <t>Data_Quality_Integration_Audit.xlsx records cleaning, integration controls, method revisions, sample reconciliation, approved claims and residual limitations.</t>
  </si>
  <si>
    <t>Final analytical audit completed, including reconciliation of the +0.51 vs +0.58 fertilizer result and 190 vs 173 sample-size difference. Remaining tasks are external delivery only.</t>
  </si>
  <si>
    <t>Claim / metric</t>
  </si>
  <si>
    <t>Final value / wording</t>
  </si>
  <si>
    <t>Use in presentation?</t>
  </si>
  <si>
    <t>Top 4 share of positive growth</t>
  </si>
  <si>
    <t>≈63.7% → 'roughly 64%' / 'nearly two-thirds'</t>
  </si>
  <si>
    <t>Cropland vs forest</t>
  </si>
  <si>
    <t>r≈-0.36, n=190, statistically strong negative association</t>
  </si>
  <si>
    <t>Brazil forest share</t>
  </si>
  <si>
    <t>Nearly 35% of forest loss in the project dataset</t>
  </si>
  <si>
    <t>YES — always say 'in our dataset'</t>
  </si>
  <si>
    <t>Fertilizer vs cereal yield</t>
  </si>
  <si>
    <t>r≈+0.58; n=173; p≈4.40e-17 — 2023 fertilizer intensity vs national aggregate yield across six cereals</t>
  </si>
  <si>
    <t>YES — final method; older +0.51 is archived/reconciled, not silently overwritten</t>
  </si>
  <si>
    <t>6 of 10 staples have ratio &lt;1</t>
  </si>
  <si>
    <t>China; exposure ≈26.5%; resilience ≈0.29; CFI ≈56.7</t>
  </si>
  <si>
    <t>Brazil; exposure ≈37.1%; resilience ≈0.31; CFI ≈57.7</t>
  </si>
  <si>
    <t>United States; resilience ≈0.33; CFI ≈55.7</t>
  </si>
  <si>
    <t>Brazil; resilience ≈0.36; CFI ≈53.0</t>
  </si>
  <si>
    <t>Scenario tool, not independent validation</t>
  </si>
  <si>
    <t>YES, with caveat</t>
  </si>
  <si>
    <t>Supporting illustration only; not part of CFI</t>
  </si>
  <si>
    <t>OPTIONAL</t>
  </si>
  <si>
    <t>Tested and dropped</t>
  </si>
  <si>
    <t>OPTIONAL limitation</t>
  </si>
  <si>
    <t>Earlier fertilizer result</t>
  </si>
  <si>
    <t>r≈+0.51 reproduced as r=+0.5034; n=170; p≈2.63e-12 using older five-crop primary scope</t>
  </si>
  <si>
    <t>NO — historical method only</t>
  </si>
  <si>
    <t>n=190 land/forest and n=173 fertilizer/yield are separate complete-case samples with different eligibility rules</t>
  </si>
  <si>
    <t>YES if methodology is questioned</t>
  </si>
  <si>
    <t>G: "Hi, I'm Gabrielle."
K: "I'm Keasha, and together we're the Query Duo."
K: "I have [X] years in supply chain and data."
G: "And I have [X] years in data governance and MDM."
G: "Today we're figuring out what's cooking up in world crop production</t>
  </si>
  <si>
    <t>The world has grown 58% more staple food since 2000. But as India and Argentina just showed, that progress can be destabilized fast."</t>
  </si>
  <si>
    <t>"The world's staple crops are concentrated in a handful of countries. So what happens when one of them fails? 
That's the question we're answering for our stakeholder — a supply-chain risk officer, the person responsible for spotting supply dependencies before they turn into shortages."</t>
  </si>
  <si>
    <t>So, here's what we found
Looking at production growth from 2000 to 2023 across our six core staples, these four countries accounted for 62.9% of the total gain.
Add Russia, Ukraine, Bangladesh, Pakistan, Argentina and Canada, and just ten countries account for 80% of total production growth over the past 23 years.”</t>
  </si>
  <si>
    <t>Which brings us back to our opening question: if a major producer fails, can the rest of the world cover the loss?”</t>
  </si>
  <si>
    <t>Yet, replacement capacity alone doesn’t tell us how fragile a crop is. It also matters how much of the world’s supply depends on that top producer and how vulnerable its production is to sharp declines.</t>
  </si>
  <si>
    <t>(shares screen — Streamlit or Power BI): "Take rice: China produces 26.5% of global output, resilience is only 0.29, and a 35% shock isn't fully coverable. The tool immediately identifies potential reinforcement markets.” Let the screen show the rest"</t>
  </si>
  <si>
    <t>"This is a production-based risk screen, not the whole supply chain. Water stress and trade flows are natural next extensions.
Every number traces to a source and formula, and the project is reproducible on GitHub.</t>
  </si>
  <si>
    <t>Production data is the spine: 78,000 raw rows and 195 countries. 
We added land-use data for the forest cost and fertilizer data for the input cost. All processed in Python using Google Colab.
We scored data quality against DMBOK dimensions at 99.6% — and caught FAOSTAT's aggregate rows before they could inflate our correlations.
We started with 10 staples, but after testing data completeness, six met our longitudinal coverage requirements for the historical growth comparison.
With those, we built one reproducible master dataset, decomposed growth into land versus yield, measured the pressures associated with each path, and built our Crop Fragility Index around exposure, downside risk and replacement capacity.
K: "We used Tableau to display the data, and everything is stored in GitHub."</t>
  </si>
  <si>
    <t xml:space="preserve">But that growth came through two paths: expanding farmland or increasing yields. Brazil's growth was overwhelmingly land-led
Brazil's growth was overwhelmingly land-led. India, China and the U.S. grew primarily through higher yields. Those two growth paths also come with different pressures.
On the land side, across 190 countries, greater cropland expansion was associated with greater forest loss: r = −0.36.
Brazil brings that trade-off into focus. It was one of our four biggest contributors to production growth, but it also accounts for nearly 35% of the forest loss in our dataset.
[pause]
For intensification, we looked specifically at cereals. Across 173 countries in 2023, fertilizer intensity and cereal yields were positively associated, r = 0.58. . These are associations, not causal claims.
</t>
  </si>
  <si>
    <t>So the takeaway is simple: different growth paths, different pressures. Land expansion is associated with greater pressure on forests, while higher-yield systems can carry greater reliance on inputs</t>
  </si>
  <si>
    <t>We used average production from 2021 to 2023, removed each crop’s top producer, and asked: could the rest of the world, producing at its historical best, cover the loss? For six of the ten staples, the answer was no.</t>
  </si>
  <si>
    <t>We measured that with a resilience ratio: 1.0 means full replacement.
Here we return to all 10 crops because resilience is calculated crop by crop. Rice scores just 0.29: if China’s recent average production disappeared, the modeled spare capacity elsewhere could replace less than a third of it.
To put that in perspective, the uncovered gap alone is roughly the size of Bangladesh’s entire 2023 rice harvest.</t>
  </si>
  <si>
    <t xml:space="preserve">
So we built the Crop Fragility Index, combining three factors: exposure, historical downside risk, and the ability of other producers to fill the gap.
To make that vulnerability tangible, we also modeled a 35% production shock — severe, but within the range of shocks producers have experienced historically. We also tested alternative index weights; rankings changed very little.
Replacement capacity anchors the score; exposure and downside risk can amplify it by up to 30%.
Rice is fragile because it’s extremely difficult to replace. Soybeans combine limited replacement capacity with producers vulnerable to major harvest declines — the kind of shock Argentina experienced in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</si>
</sst>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
  </numFmts>
  <fonts count="42" x14ac:knownFonts="1">
    <font>
      <sz val="11"/>
      <color theme="1"/>
      <name val="Calibri"/>
    </font>
    <font>
      <b/>
      <sz val="16"/>
      <color rgb="FFFFFFFF"/>
      <name val="Arial"/>
      <family val="2"/>
    </font>
    <font>
      <sz val="11"/>
      <name val="Calibri"/>
      <family val="2"/>
    </font>
    <font>
      <sz val="10"/>
      <color rgb="FF000000"/>
      <name val="Arial"/>
      <family val="2"/>
    </font>
    <font>
      <b/>
      <sz val="11"/>
      <color rgb="FFFFFFFF"/>
      <name val="Arial"/>
      <family val="2"/>
    </font>
    <font>
      <sz val="11"/>
      <color theme="1"/>
      <name val="Calibri"/>
      <family val="2"/>
    </font>
    <font>
      <b/>
      <sz val="11"/>
      <color theme="1"/>
      <name val="Calibri"/>
      <family val="2"/>
    </font>
    <font>
      <sz val="11"/>
      <color theme="10"/>
      <name val="Calibri"/>
      <family val="2"/>
    </font>
    <font>
      <sz val="11"/>
      <color theme="1"/>
      <name val="Arial"/>
      <family val="2"/>
    </font>
    <font>
      <b/>
      <sz val="11"/>
      <color theme="0"/>
      <name val="Arial"/>
      <family val="2"/>
    </font>
    <font>
      <sz val="11"/>
      <color rgb="FFFFFFFF"/>
      <name val="Arial"/>
      <family val="2"/>
    </font>
    <font>
      <b/>
      <sz val="10"/>
      <color rgb="FFFFFFFF"/>
      <name val="Arial"/>
      <family val="2"/>
    </font>
    <font>
      <b/>
      <sz val="9"/>
      <color rgb="FF000000"/>
      <name val="Arial"/>
      <family val="2"/>
    </font>
    <font>
      <b/>
      <sz val="9"/>
      <color rgb="FF375623"/>
      <name val="Arial"/>
      <family val="2"/>
    </font>
    <font>
      <sz val="9"/>
      <color rgb="FF000000"/>
      <name val="Arial"/>
      <family val="2"/>
    </font>
    <font>
      <sz val="9"/>
      <color rgb="FF0563C1"/>
      <name val="Arial"/>
      <family val="2"/>
    </font>
    <font>
      <b/>
      <sz val="9"/>
      <color rgb="FFBF8F00"/>
      <name val="Arial"/>
      <family val="2"/>
    </font>
    <font>
      <i/>
      <sz val="9"/>
      <color rgb="FF404040"/>
      <name val="Arial"/>
      <family val="2"/>
    </font>
    <font>
      <b/>
      <sz val="9"/>
      <color rgb="FF7F6000"/>
      <name val="Arial"/>
      <family val="2"/>
    </font>
    <font>
      <sz val="11"/>
      <color theme="1"/>
      <name val="Calibri"/>
      <family val="2"/>
    </font>
    <font>
      <b/>
      <sz val="13"/>
      <color rgb="FFFFFFFF"/>
      <name val="Arial"/>
      <family val="2"/>
    </font>
    <font>
      <b/>
      <sz val="9"/>
      <color rgb="FF833C00"/>
      <name val="Arial"/>
      <family val="2"/>
    </font>
    <font>
      <sz val="9"/>
      <color rgb="FF808080"/>
      <name val="Arial"/>
      <family val="2"/>
    </font>
    <font>
      <b/>
      <sz val="14"/>
      <color rgb="FFFFFFFF"/>
      <name val="Arial"/>
      <family val="2"/>
    </font>
    <font>
      <sz val="8"/>
      <color rgb="FF000000"/>
      <name val="Arial"/>
      <family val="2"/>
    </font>
    <font>
      <b/>
      <sz val="9"/>
      <color rgb="FFFFFFFF"/>
      <name val="Arial"/>
      <family val="2"/>
    </font>
    <font>
      <sz val="9"/>
      <color rgb="FF595959"/>
      <name val="Arial"/>
      <family val="2"/>
    </font>
    <font>
      <b/>
      <sz val="11"/>
      <color rgb="FF1F3A22"/>
      <name val="Calibri"/>
      <family val="2"/>
    </font>
    <font>
      <b/>
      <i/>
      <sz val="10"/>
      <color rgb="FF000000"/>
      <name val="Arial"/>
      <family val="2"/>
    </font>
    <font>
      <sz val="9"/>
      <color rgb="FF375623"/>
      <name val="Arial"/>
      <family val="2"/>
    </font>
    <font>
      <b/>
      <sz val="11"/>
      <color rgb="FF000000"/>
      <name val="Arial"/>
      <family val="2"/>
    </font>
    <font>
      <b/>
      <sz val="9"/>
      <color rgb="FF548235"/>
      <name val="Arial"/>
      <family val="2"/>
    </font>
    <font>
      <b/>
      <sz val="13"/>
      <color rgb="FFFFFFFF"/>
      <name val="Arial"/>
      <family val="2"/>
    </font>
    <font>
      <b/>
      <sz val="10"/>
      <color rgb="FFFFFFFF"/>
      <name val="Arial"/>
      <family val="2"/>
    </font>
    <font>
      <b/>
      <sz val="9"/>
      <color rgb="FF000000"/>
      <name val="Arial"/>
      <family val="2"/>
    </font>
    <font>
      <sz val="9"/>
      <color rgb="FF000000"/>
      <name val="Arial"/>
      <family val="2"/>
    </font>
    <font>
      <i/>
      <sz val="9"/>
      <color rgb="FF404040"/>
      <name val="Arial"/>
      <family val="2"/>
    </font>
    <font>
      <b/>
      <sz val="10"/>
      <color rgb="FF1F3A5F"/>
      <name val="Arial"/>
      <family val="2"/>
    </font>
    <font>
      <i/>
      <sz val="9"/>
      <color rgb="FF7F7F7F"/>
      <name val="Arial"/>
      <family val="2"/>
    </font>
    <font>
      <sz val="9"/>
      <name val="Arial"/>
      <family val="2"/>
    </font>
    <font>
      <b/>
      <sz val="14"/>
      <color rgb="FFFFFFFF"/>
      <name val="Calibri"/>
      <family val="2"/>
    </font>
    <font>
      <b/>
      <sz val="11"/>
      <color rgb="FFFFFFFF"/>
      <name val="Calibri"/>
      <family val="2"/>
    </font>
  </fonts>
  <fills count="45">
    <fill>
      <patternFill patternType="none"/>
    </fill>
    <fill>
      <patternFill patternType="gray125"/>
    </fill>
    <fill>
      <patternFill patternType="solid">
        <fgColor rgb="FF1B3A24"/>
      </patternFill>
    </fill>
    <fill>
      <patternFill patternType="solid">
        <fgColor theme="6" tint="0.79995117038483843"/>
        <bgColor indexed="65"/>
      </patternFill>
    </fill>
    <fill>
      <patternFill patternType="solid">
        <fgColor rgb="FFE2EFDA"/>
      </patternFill>
    </fill>
    <fill>
      <patternFill patternType="solid">
        <fgColor rgb="FF548235"/>
      </patternFill>
    </fill>
    <fill>
      <patternFill patternType="solid">
        <fgColor rgb="FF375623"/>
      </patternFill>
    </fill>
    <fill>
      <patternFill patternType="solid">
        <fgColor rgb="FFE2EFDA"/>
      </patternFill>
    </fill>
    <fill>
      <patternFill patternType="solid">
        <fgColor rgb="FF548235"/>
      </patternFill>
    </fill>
    <fill>
      <patternFill patternType="solid">
        <fgColor rgb="FFE2EFDA"/>
      </patternFill>
    </fill>
    <fill>
      <patternFill patternType="solid">
        <fgColor rgb="FFFFF2CC"/>
      </patternFill>
    </fill>
    <fill>
      <patternFill patternType="solid">
        <fgColor rgb="FF1F3A22"/>
      </patternFill>
    </fill>
    <fill>
      <patternFill patternType="solid">
        <fgColor rgb="FFE2EFDA"/>
      </patternFill>
    </fill>
    <fill>
      <patternFill patternType="solid">
        <fgColor rgb="FFDDEBF7"/>
      </patternFill>
    </fill>
    <fill>
      <patternFill patternType="solid">
        <fgColor rgb="FFF8CBAD"/>
      </patternFill>
    </fill>
    <fill>
      <patternFill patternType="solid">
        <fgColor theme="6" tint="-0.49995422223578601"/>
        <bgColor indexed="65"/>
      </patternFill>
    </fill>
    <fill>
      <patternFill patternType="solid">
        <fgColor rgb="FF1F3A22"/>
      </patternFill>
    </fill>
    <fill>
      <patternFill patternType="solid">
        <fgColor rgb="FFDDE7CE"/>
      </patternFill>
    </fill>
    <fill>
      <patternFill patternType="solid">
        <fgColor rgb="FFE2EFDA"/>
      </patternFill>
    </fill>
    <fill>
      <patternFill patternType="solid">
        <fgColor rgb="FFC6E0B4"/>
      </patternFill>
    </fill>
    <fill>
      <patternFill patternType="solid">
        <fgColor rgb="FFF2F2F2"/>
      </patternFill>
    </fill>
    <fill>
      <patternFill patternType="solid">
        <fgColor rgb="FFFFF2CC"/>
      </patternFill>
    </fill>
    <fill>
      <patternFill patternType="solid">
        <fgColor rgb="FF2E5E1F"/>
      </patternFill>
    </fill>
    <fill>
      <patternFill patternType="solid">
        <fgColor rgb="FF4E7A2F"/>
      </patternFill>
    </fill>
    <fill>
      <patternFill patternType="solid">
        <fgColor rgb="FFC6D9A8"/>
      </patternFill>
    </fill>
    <fill>
      <patternFill patternType="solid">
        <fgColor rgb="FFEAF1E0"/>
      </patternFill>
    </fill>
    <fill>
      <patternFill patternType="solid">
        <fgColor rgb="FF1F3A22"/>
      </patternFill>
    </fill>
    <fill>
      <patternFill patternType="solid">
        <fgColor rgb="FFC6D9A8"/>
      </patternFill>
    </fill>
    <fill>
      <patternFill patternType="solid">
        <fgColor rgb="FFEAF1E0"/>
      </patternFill>
    </fill>
    <fill>
      <patternFill patternType="solid">
        <fgColor rgb="FF375623"/>
      </patternFill>
    </fill>
    <fill>
      <patternFill patternType="solid">
        <fgColor rgb="FFE2EFDA"/>
      </patternFill>
    </fill>
    <fill>
      <patternFill patternType="solid">
        <fgColor rgb="FFFCE9C8"/>
      </patternFill>
    </fill>
    <fill>
      <patternFill patternType="solid">
        <fgColor theme="7" tint="0.79995117038483843"/>
        <bgColor indexed="65"/>
      </patternFill>
    </fill>
    <fill>
      <patternFill patternType="solid">
        <fgColor rgb="FFF4F7FB"/>
      </patternFill>
    </fill>
    <fill>
      <patternFill patternType="solid">
        <fgColor rgb="FF4A7BA6"/>
      </patternFill>
    </fill>
    <fill>
      <patternFill patternType="solid">
        <fgColor theme="6"/>
      </patternFill>
    </fill>
    <fill>
      <patternFill patternType="solid">
        <fgColor rgb="FF1F3A5F"/>
      </patternFill>
    </fill>
    <fill>
      <patternFill patternType="solid">
        <fgColor rgb="FF2E5A87"/>
      </patternFill>
    </fill>
    <fill>
      <patternFill patternType="solid">
        <fgColor rgb="FF4A7BA6"/>
      </patternFill>
    </fill>
    <fill>
      <patternFill patternType="solid">
        <fgColor rgb="FF1F3A5F"/>
      </patternFill>
    </fill>
    <fill>
      <patternFill patternType="solid">
        <fgColor rgb="FFFFE699"/>
      </patternFill>
    </fill>
    <fill>
      <patternFill patternType="solid">
        <fgColor rgb="FFF8CBAD"/>
      </patternFill>
    </fill>
    <fill>
      <patternFill patternType="solid">
        <fgColor rgb="FF2E5A87"/>
      </patternFill>
    </fill>
    <fill>
      <patternFill patternType="solid">
        <fgColor rgb="FF1F3A22"/>
      </patternFill>
    </fill>
    <fill>
      <patternFill patternType="solid">
        <fgColor rgb="FF375623"/>
      </patternFill>
    </fill>
  </fills>
  <borders count="22">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rgb="FFBFBFBF"/>
      </left>
      <right/>
      <top/>
      <bottom style="thin">
        <color theme="2" tint="-0.249977111117893"/>
      </bottom>
      <diagonal/>
    </border>
    <border>
      <left/>
      <right/>
      <top/>
      <bottom style="thin">
        <color theme="2" tint="-0.249977111117893"/>
      </bottom>
      <diagonal/>
    </border>
    <border>
      <left/>
      <right style="thin">
        <color rgb="FFBFBFBF"/>
      </right>
      <top/>
      <bottom style="thin">
        <color theme="2" tint="-0.249977111117893"/>
      </bottom>
      <diagonal/>
    </border>
  </borders>
  <cellStyleXfs count="4">
    <xf numFmtId="0" fontId="0" fillId="0" borderId="0"/>
    <xf numFmtId="0" fontId="7" fillId="0" borderId="0" applyNumberFormat="0" applyFill="0" applyBorder="0" applyAlignment="0" applyProtection="0"/>
    <xf numFmtId="0" fontId="19" fillId="0" borderId="3"/>
    <xf numFmtId="0" fontId="5" fillId="0" borderId="3"/>
  </cellStyleXfs>
  <cellXfs count="259">
    <xf numFmtId="0" fontId="0" fillId="0" borderId="0" xfId="0"/>
    <xf numFmtId="0" fontId="5" fillId="0" borderId="0" xfId="0" applyFont="1"/>
    <xf numFmtId="0" fontId="0" fillId="0" borderId="0" xfId="0" applyAlignment="1">
      <alignment vertical="center"/>
    </xf>
    <xf numFmtId="0" fontId="1" fillId="2" borderId="1" xfId="0" applyFont="1" applyFill="1" applyBorder="1" applyAlignment="1">
      <alignment vertical="center"/>
    </xf>
    <xf numFmtId="0" fontId="0" fillId="0" borderId="0" xfId="0" applyAlignment="1">
      <alignment wrapText="1"/>
    </xf>
    <xf numFmtId="0" fontId="0" fillId="0" borderId="0" xfId="0" applyAlignment="1">
      <alignment horizontal="left"/>
    </xf>
    <xf numFmtId="0" fontId="5" fillId="0" borderId="0" xfId="0" applyFont="1" applyAlignment="1">
      <alignment wrapText="1"/>
    </xf>
    <xf numFmtId="0" fontId="1" fillId="2" borderId="1" xfId="0" applyFont="1" applyFill="1" applyBorder="1" applyAlignment="1">
      <alignment horizontal="left" vertical="center"/>
    </xf>
    <xf numFmtId="0" fontId="1" fillId="2" borderId="3" xfId="0" applyFont="1" applyFill="1" applyBorder="1" applyAlignment="1">
      <alignment horizontal="left" vertical="center"/>
    </xf>
    <xf numFmtId="0" fontId="14" fillId="0" borderId="4" xfId="0" applyFont="1" applyBorder="1" applyAlignment="1">
      <alignment horizontal="left" vertical="top" wrapText="1"/>
    </xf>
    <xf numFmtId="0" fontId="0" fillId="0" borderId="0" xfId="0" applyAlignment="1">
      <alignment horizontal="center" vertical="center"/>
    </xf>
    <xf numFmtId="0" fontId="11" fillId="6" borderId="4" xfId="0" applyFont="1" applyFill="1" applyBorder="1" applyAlignment="1">
      <alignment horizontal="left" vertical="center" wrapText="1"/>
    </xf>
    <xf numFmtId="0" fontId="14" fillId="0" borderId="4" xfId="0" applyFont="1" applyBorder="1" applyAlignment="1">
      <alignment horizontal="left" vertical="center" wrapText="1"/>
    </xf>
    <xf numFmtId="0" fontId="11" fillId="6" borderId="4" xfId="0" applyFont="1" applyFill="1" applyBorder="1" applyAlignment="1">
      <alignment horizontal="center" vertical="center" wrapText="1"/>
    </xf>
    <xf numFmtId="0" fontId="12" fillId="10" borderId="4" xfId="0" applyFont="1" applyFill="1" applyBorder="1" applyAlignment="1">
      <alignment horizontal="left" vertical="top" wrapText="1"/>
    </xf>
    <xf numFmtId="0" fontId="14" fillId="0" borderId="4"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14" fillId="0" borderId="5" xfId="0" applyFont="1" applyBorder="1" applyAlignment="1">
      <alignment horizontal="left" vertical="center" wrapText="1"/>
    </xf>
    <xf numFmtId="0" fontId="12" fillId="0" borderId="4" xfId="0" applyFont="1" applyBorder="1" applyAlignment="1">
      <alignment horizontal="left" vertical="center" wrapText="1"/>
    </xf>
    <xf numFmtId="0" fontId="0" fillId="0" borderId="0" xfId="0" applyAlignment="1">
      <alignment horizontal="left" vertical="center"/>
    </xf>
    <xf numFmtId="0" fontId="11" fillId="6" borderId="13" xfId="0" applyFont="1" applyFill="1" applyBorder="1" applyAlignment="1">
      <alignment horizontal="center" vertical="center" wrapText="1"/>
    </xf>
    <xf numFmtId="0" fontId="19" fillId="0" borderId="3" xfId="2"/>
    <xf numFmtId="0" fontId="11" fillId="6" borderId="4" xfId="2" applyFont="1" applyFill="1" applyBorder="1" applyAlignment="1">
      <alignment horizontal="left" vertical="center" wrapText="1"/>
    </xf>
    <xf numFmtId="0" fontId="11" fillId="6" borderId="4" xfId="2" applyFont="1" applyFill="1" applyBorder="1" applyAlignment="1">
      <alignment horizontal="center" vertical="center" wrapText="1"/>
    </xf>
    <xf numFmtId="0" fontId="14" fillId="0" borderId="4" xfId="2" applyFont="1" applyBorder="1" applyAlignment="1">
      <alignment horizontal="left" vertical="top" wrapText="1"/>
    </xf>
    <xf numFmtId="3" fontId="14" fillId="0" borderId="4" xfId="2" applyNumberFormat="1" applyFont="1" applyBorder="1" applyAlignment="1">
      <alignment horizontal="center" vertical="top" wrapText="1"/>
    </xf>
    <xf numFmtId="0" fontId="14" fillId="10" borderId="4" xfId="2" applyFont="1" applyFill="1" applyBorder="1" applyAlignment="1">
      <alignment horizontal="left" vertical="top" wrapText="1"/>
    </xf>
    <xf numFmtId="0" fontId="12" fillId="14" borderId="4" xfId="2" applyFont="1" applyFill="1" applyBorder="1" applyAlignment="1">
      <alignment horizontal="left" vertical="top" wrapText="1"/>
    </xf>
    <xf numFmtId="0" fontId="4" fillId="8" borderId="5" xfId="2" applyFont="1" applyFill="1" applyBorder="1" applyAlignment="1">
      <alignment horizontal="left" vertical="center" wrapText="1"/>
    </xf>
    <xf numFmtId="0" fontId="12" fillId="14" borderId="4" xfId="0" applyFont="1" applyFill="1" applyBorder="1" applyAlignment="1">
      <alignment horizontal="left" vertical="top" wrapText="1"/>
    </xf>
    <xf numFmtId="0" fontId="12" fillId="0" borderId="4" xfId="0" applyFont="1" applyBorder="1" applyAlignment="1">
      <alignment horizontal="left" vertical="top" wrapText="1"/>
    </xf>
    <xf numFmtId="0" fontId="14" fillId="0" borderId="4" xfId="0" applyFont="1" applyBorder="1" applyAlignment="1">
      <alignment vertical="top" wrapText="1"/>
    </xf>
    <xf numFmtId="0" fontId="12" fillId="13" borderId="4" xfId="0" applyFont="1" applyFill="1" applyBorder="1" applyAlignment="1">
      <alignment horizontal="left" vertical="top" wrapText="1"/>
    </xf>
    <xf numFmtId="0" fontId="12" fillId="12" borderId="4" xfId="0" applyFont="1" applyFill="1" applyBorder="1" applyAlignment="1">
      <alignment horizontal="left" vertical="center" wrapText="1"/>
    </xf>
    <xf numFmtId="0" fontId="12" fillId="12" borderId="4" xfId="0" applyFont="1" applyFill="1" applyBorder="1" applyAlignment="1">
      <alignment horizontal="center" vertical="center" wrapText="1"/>
    </xf>
    <xf numFmtId="0" fontId="23" fillId="16" borderId="0" xfId="0" applyFont="1" applyFill="1" applyAlignment="1">
      <alignment horizontal="left" vertical="center" wrapText="1"/>
    </xf>
    <xf numFmtId="0" fontId="3" fillId="0" borderId="4" xfId="0" applyFont="1" applyBorder="1" applyAlignment="1">
      <alignment horizontal="left" vertical="top" wrapText="1"/>
    </xf>
    <xf numFmtId="0" fontId="9" fillId="15" borderId="4" xfId="0" applyFont="1" applyFill="1" applyBorder="1" applyAlignment="1">
      <alignment horizontal="left" vertical="top" wrapText="1"/>
    </xf>
    <xf numFmtId="0" fontId="3" fillId="0" borderId="0" xfId="0" applyFont="1" applyAlignment="1">
      <alignment wrapText="1"/>
    </xf>
    <xf numFmtId="0" fontId="12" fillId="17" borderId="4" xfId="0" applyFont="1" applyFill="1" applyBorder="1" applyAlignment="1">
      <alignment horizontal="left" vertical="top" wrapText="1"/>
    </xf>
    <xf numFmtId="0" fontId="0" fillId="0" borderId="0" xfId="0" applyAlignment="1">
      <alignment horizontal="left" wrapText="1"/>
    </xf>
    <xf numFmtId="0" fontId="14" fillId="19" borderId="4" xfId="2" applyFont="1" applyFill="1" applyBorder="1" applyAlignment="1">
      <alignment horizontal="center" vertical="top" wrapText="1"/>
    </xf>
    <xf numFmtId="0" fontId="12" fillId="19" borderId="4" xfId="2" applyFont="1" applyFill="1" applyBorder="1" applyAlignment="1">
      <alignment horizontal="left" vertical="top" wrapText="1"/>
    </xf>
    <xf numFmtId="3" fontId="14" fillId="19" borderId="4" xfId="2" applyNumberFormat="1" applyFont="1" applyFill="1" applyBorder="1" applyAlignment="1">
      <alignment horizontal="center" vertical="top" wrapText="1"/>
    </xf>
    <xf numFmtId="0" fontId="13" fillId="19" borderId="4" xfId="2" applyFont="1" applyFill="1" applyBorder="1" applyAlignment="1">
      <alignment horizontal="center" vertical="top" wrapText="1"/>
    </xf>
    <xf numFmtId="0" fontId="14" fillId="0" borderId="4" xfId="2" applyFont="1" applyBorder="1" applyAlignment="1">
      <alignment horizontal="center" vertical="top" wrapText="1"/>
    </xf>
    <xf numFmtId="0" fontId="22" fillId="0" borderId="4" xfId="2" applyFont="1" applyBorder="1" applyAlignment="1">
      <alignment horizontal="center" vertical="top" wrapText="1"/>
    </xf>
    <xf numFmtId="0" fontId="12" fillId="18" borderId="4" xfId="2" applyFont="1" applyFill="1" applyBorder="1" applyAlignment="1">
      <alignment horizontal="left" vertical="top" wrapText="1"/>
    </xf>
    <xf numFmtId="0" fontId="12" fillId="0" borderId="4" xfId="2" applyFont="1" applyBorder="1" applyAlignment="1">
      <alignment horizontal="left" vertical="top" wrapText="1"/>
    </xf>
    <xf numFmtId="0" fontId="1" fillId="2" borderId="3" xfId="0" applyFont="1" applyFill="1" applyBorder="1" applyAlignment="1">
      <alignment vertical="center"/>
    </xf>
    <xf numFmtId="0" fontId="11" fillId="22" borderId="4" xfId="0" applyFont="1" applyFill="1" applyBorder="1" applyAlignment="1">
      <alignment horizontal="center" vertical="center" wrapText="1"/>
    </xf>
    <xf numFmtId="0" fontId="11" fillId="22" borderId="4" xfId="0" applyFont="1" applyFill="1" applyBorder="1" applyAlignment="1">
      <alignment horizontal="left" vertical="center" wrapText="1"/>
    </xf>
    <xf numFmtId="0" fontId="25" fillId="22" borderId="4" xfId="0" applyFont="1" applyFill="1" applyBorder="1" applyAlignment="1">
      <alignment horizontal="center" vertical="center" wrapText="1"/>
    </xf>
    <xf numFmtId="0" fontId="1" fillId="2" borderId="3" xfId="0" applyFont="1" applyFill="1" applyBorder="1" applyAlignment="1">
      <alignment horizontal="center" vertical="center"/>
    </xf>
    <xf numFmtId="0" fontId="27" fillId="0" borderId="0" xfId="0" applyFont="1"/>
    <xf numFmtId="0" fontId="11" fillId="6" borderId="13" xfId="2" applyFont="1" applyFill="1" applyBorder="1" applyAlignment="1">
      <alignment horizontal="left" vertical="center" wrapText="1"/>
    </xf>
    <xf numFmtId="0" fontId="14" fillId="0" borderId="16" xfId="2" applyFont="1" applyBorder="1" applyAlignment="1">
      <alignment horizontal="left" vertical="top" wrapText="1"/>
    </xf>
    <xf numFmtId="0" fontId="12" fillId="3" borderId="4" xfId="2" applyFont="1" applyFill="1" applyBorder="1" applyAlignment="1">
      <alignment horizontal="left" vertical="top" wrapText="1"/>
    </xf>
    <xf numFmtId="3" fontId="14" fillId="0" borderId="4" xfId="2" applyNumberFormat="1" applyFont="1" applyBorder="1" applyAlignment="1">
      <alignment horizontal="left" vertical="top" wrapText="1"/>
    </xf>
    <xf numFmtId="165" fontId="14" fillId="0" borderId="4" xfId="2" applyNumberFormat="1" applyFont="1" applyBorder="1" applyAlignment="1">
      <alignment horizontal="left" vertical="top" wrapText="1"/>
    </xf>
    <xf numFmtId="0" fontId="26" fillId="0" borderId="5" xfId="0" applyFont="1" applyBorder="1" applyAlignment="1">
      <alignment horizontal="left" vertical="top" wrapText="1"/>
    </xf>
    <xf numFmtId="0" fontId="14" fillId="0" borderId="16" xfId="0" applyFont="1" applyBorder="1" applyAlignment="1">
      <alignment horizontal="center" vertical="center" wrapText="1"/>
    </xf>
    <xf numFmtId="0" fontId="11" fillId="6" borderId="16" xfId="0" applyFont="1" applyFill="1" applyBorder="1" applyAlignment="1">
      <alignment horizontal="center" vertical="center" wrapText="1"/>
    </xf>
    <xf numFmtId="0" fontId="12" fillId="19" borderId="4" xfId="0" applyFont="1" applyFill="1" applyBorder="1" applyAlignment="1">
      <alignment horizontal="left" vertical="top" wrapText="1"/>
    </xf>
    <xf numFmtId="0" fontId="12" fillId="19" borderId="4" xfId="0" applyFont="1" applyFill="1" applyBorder="1" applyAlignment="1">
      <alignment horizontal="center" vertical="center" wrapText="1"/>
    </xf>
    <xf numFmtId="0" fontId="12" fillId="13" borderId="4" xfId="0" applyFont="1" applyFill="1" applyBorder="1" applyAlignment="1">
      <alignment horizontal="center" vertical="center" wrapText="1"/>
    </xf>
    <xf numFmtId="0" fontId="12" fillId="14" borderId="4" xfId="0" applyFont="1" applyFill="1" applyBorder="1" applyAlignment="1">
      <alignment horizontal="center" vertical="center" wrapText="1"/>
    </xf>
    <xf numFmtId="0" fontId="12" fillId="19" borderId="4" xfId="0" applyFont="1" applyFill="1" applyBorder="1" applyAlignment="1">
      <alignment horizontal="left" vertical="center" wrapText="1"/>
    </xf>
    <xf numFmtId="0" fontId="13" fillId="19" borderId="4" xfId="0" applyFont="1" applyFill="1" applyBorder="1" applyAlignment="1">
      <alignment horizontal="left" vertical="center" wrapText="1"/>
    </xf>
    <xf numFmtId="0" fontId="15" fillId="0" borderId="4" xfId="0" applyFont="1" applyBorder="1" applyAlignment="1">
      <alignment horizontal="left" vertical="center" wrapText="1"/>
    </xf>
    <xf numFmtId="0" fontId="13" fillId="12" borderId="4" xfId="0" applyFont="1" applyFill="1" applyBorder="1" applyAlignment="1">
      <alignment horizontal="left" vertical="center" wrapText="1"/>
    </xf>
    <xf numFmtId="0" fontId="12" fillId="13" borderId="4" xfId="0" applyFont="1" applyFill="1" applyBorder="1" applyAlignment="1">
      <alignment horizontal="left" vertical="center" wrapText="1"/>
    </xf>
    <xf numFmtId="0" fontId="13" fillId="13" borderId="4" xfId="0" applyFont="1" applyFill="1" applyBorder="1" applyAlignment="1">
      <alignment horizontal="left" vertical="center" wrapText="1"/>
    </xf>
    <xf numFmtId="0" fontId="12" fillId="14" borderId="4" xfId="0" applyFont="1" applyFill="1" applyBorder="1" applyAlignment="1">
      <alignment horizontal="left" vertical="center" wrapText="1"/>
    </xf>
    <xf numFmtId="0" fontId="21" fillId="14" borderId="4" xfId="0" applyFont="1" applyFill="1" applyBorder="1" applyAlignment="1">
      <alignment horizontal="left" vertical="center" wrapText="1"/>
    </xf>
    <xf numFmtId="0" fontId="22" fillId="0" borderId="4" xfId="0" applyFont="1" applyBorder="1" applyAlignment="1">
      <alignment horizontal="center" vertical="center" wrapText="1"/>
    </xf>
    <xf numFmtId="0" fontId="12" fillId="10" borderId="4" xfId="0" applyFont="1" applyFill="1" applyBorder="1" applyAlignment="1">
      <alignment horizontal="left" vertical="center" wrapText="1"/>
    </xf>
    <xf numFmtId="0" fontId="16" fillId="0" borderId="4" xfId="0" applyFont="1" applyBorder="1" applyAlignment="1">
      <alignment horizontal="center" vertical="center" wrapText="1"/>
    </xf>
    <xf numFmtId="0" fontId="12" fillId="28" borderId="4" xfId="0" applyFont="1" applyFill="1" applyBorder="1" applyAlignment="1">
      <alignment horizontal="center" vertical="top" wrapText="1"/>
    </xf>
    <xf numFmtId="0" fontId="12" fillId="28" borderId="4" xfId="0" applyFont="1" applyFill="1" applyBorder="1" applyAlignment="1">
      <alignment horizontal="left" vertical="top" wrapText="1"/>
    </xf>
    <xf numFmtId="0" fontId="12" fillId="7" borderId="4" xfId="2" applyFont="1" applyFill="1" applyBorder="1" applyAlignment="1">
      <alignment horizontal="left" vertical="top" wrapText="1"/>
    </xf>
    <xf numFmtId="0" fontId="14" fillId="11" borderId="4" xfId="2" applyFont="1" applyFill="1" applyBorder="1" applyAlignment="1">
      <alignment horizontal="left" vertical="top" wrapText="1"/>
    </xf>
    <xf numFmtId="0" fontId="25" fillId="11" borderId="4" xfId="2" applyFont="1" applyFill="1" applyBorder="1" applyAlignment="1">
      <alignment horizontal="center" vertical="top" wrapText="1"/>
    </xf>
    <xf numFmtId="0" fontId="25" fillId="11" borderId="4" xfId="2" applyFont="1" applyFill="1" applyBorder="1" applyAlignment="1">
      <alignment horizontal="left" vertical="top" wrapText="1"/>
    </xf>
    <xf numFmtId="0" fontId="13" fillId="0" borderId="4" xfId="2" applyFont="1" applyBorder="1" applyAlignment="1">
      <alignment horizontal="center" vertical="top" wrapText="1"/>
    </xf>
    <xf numFmtId="0" fontId="12" fillId="0" borderId="4" xfId="2" applyFont="1" applyBorder="1" applyAlignment="1">
      <alignment horizontal="center" vertical="top" wrapText="1"/>
    </xf>
    <xf numFmtId="0" fontId="21" fillId="14" borderId="4" xfId="2" applyFont="1" applyFill="1" applyBorder="1" applyAlignment="1">
      <alignment horizontal="center" vertical="top" wrapText="1"/>
    </xf>
    <xf numFmtId="0" fontId="26" fillId="0" borderId="4" xfId="2" applyFont="1" applyBorder="1" applyAlignment="1">
      <alignment horizontal="left" vertical="top" wrapText="1"/>
    </xf>
    <xf numFmtId="0" fontId="14" fillId="19" borderId="4" xfId="2" applyFont="1" applyFill="1" applyBorder="1" applyAlignment="1">
      <alignment horizontal="left" vertical="top" wrapText="1"/>
    </xf>
    <xf numFmtId="0" fontId="12" fillId="9" borderId="4" xfId="2" applyFont="1" applyFill="1" applyBorder="1" applyAlignment="1">
      <alignment horizontal="center" vertical="top" wrapText="1"/>
    </xf>
    <xf numFmtId="0" fontId="12" fillId="9" borderId="4" xfId="2" applyFont="1" applyFill="1" applyBorder="1" applyAlignment="1">
      <alignment horizontal="left" vertical="top" wrapText="1"/>
    </xf>
    <xf numFmtId="0" fontId="25" fillId="29" borderId="4" xfId="0" applyFont="1" applyFill="1" applyBorder="1" applyAlignment="1">
      <alignment horizontal="center" vertical="center" wrapText="1"/>
    </xf>
    <xf numFmtId="3" fontId="14" fillId="0" borderId="4" xfId="0" applyNumberFormat="1" applyFont="1" applyBorder="1" applyAlignment="1">
      <alignment horizontal="center" vertical="center" wrapText="1"/>
    </xf>
    <xf numFmtId="2" fontId="12" fillId="14" borderId="4" xfId="0" applyNumberFormat="1" applyFont="1" applyFill="1" applyBorder="1" applyAlignment="1">
      <alignment horizontal="center" vertical="center" wrapText="1"/>
    </xf>
    <xf numFmtId="2" fontId="12" fillId="19" borderId="4" xfId="0" applyNumberFormat="1" applyFont="1" applyFill="1" applyBorder="1" applyAlignment="1">
      <alignment horizontal="center" vertical="center" wrapText="1"/>
    </xf>
    <xf numFmtId="1" fontId="14" fillId="0" borderId="4" xfId="0" applyNumberFormat="1" applyFont="1" applyBorder="1" applyAlignment="1">
      <alignment horizontal="center" vertical="center" wrapText="1"/>
    </xf>
    <xf numFmtId="164" fontId="14" fillId="0" borderId="4" xfId="0" applyNumberFormat="1" applyFont="1" applyBorder="1" applyAlignment="1">
      <alignment horizontal="center" vertical="center" wrapText="1"/>
    </xf>
    <xf numFmtId="2" fontId="14" fillId="0" borderId="4" xfId="0" applyNumberFormat="1" applyFont="1" applyBorder="1" applyAlignment="1">
      <alignment horizontal="center" vertical="center" wrapText="1"/>
    </xf>
    <xf numFmtId="1" fontId="12" fillId="14" borderId="4" xfId="0" applyNumberFormat="1" applyFont="1" applyFill="1" applyBorder="1" applyAlignment="1">
      <alignment horizontal="center" vertical="center" wrapText="1"/>
    </xf>
    <xf numFmtId="1" fontId="12" fillId="10" borderId="4" xfId="0" applyNumberFormat="1" applyFont="1" applyFill="1" applyBorder="1" applyAlignment="1">
      <alignment horizontal="center" vertical="center" wrapText="1"/>
    </xf>
    <xf numFmtId="0" fontId="12" fillId="10" borderId="4" xfId="0" applyFont="1" applyFill="1" applyBorder="1" applyAlignment="1">
      <alignment horizontal="center" vertical="center" wrapText="1"/>
    </xf>
    <xf numFmtId="1" fontId="12" fillId="19" borderId="4" xfId="0" applyNumberFormat="1" applyFont="1" applyFill="1" applyBorder="1" applyAlignment="1">
      <alignment horizontal="center" vertical="center" wrapText="1"/>
    </xf>
    <xf numFmtId="0" fontId="3" fillId="12" borderId="3" xfId="2" applyFont="1" applyFill="1" applyAlignment="1">
      <alignment horizontal="left" vertical="top" wrapText="1"/>
    </xf>
    <xf numFmtId="0" fontId="30" fillId="14" borderId="3" xfId="2" applyFont="1" applyFill="1" applyAlignment="1">
      <alignment horizontal="left" vertical="center" wrapText="1"/>
    </xf>
    <xf numFmtId="0" fontId="30" fillId="13" borderId="3" xfId="2" applyFont="1" applyFill="1" applyAlignment="1">
      <alignment horizontal="left" vertical="center" wrapText="1"/>
    </xf>
    <xf numFmtId="0" fontId="30" fillId="19" borderId="3" xfId="2" applyFont="1" applyFill="1" applyAlignment="1">
      <alignment horizontal="left" vertical="center" wrapText="1"/>
    </xf>
    <xf numFmtId="0" fontId="30" fillId="10" borderId="3" xfId="2" applyFont="1" applyFill="1" applyAlignment="1">
      <alignment horizontal="left" vertical="center" wrapText="1"/>
    </xf>
    <xf numFmtId="0" fontId="23" fillId="11" borderId="3" xfId="2" applyFont="1" applyFill="1" applyAlignment="1">
      <alignment horizontal="left" vertical="center"/>
    </xf>
    <xf numFmtId="0" fontId="12" fillId="10" borderId="4" xfId="2" applyFont="1" applyFill="1" applyBorder="1" applyAlignment="1">
      <alignment horizontal="center" vertical="top" wrapText="1"/>
    </xf>
    <xf numFmtId="0" fontId="12" fillId="19" borderId="4" xfId="2" applyFont="1" applyFill="1" applyBorder="1" applyAlignment="1">
      <alignment horizontal="center" vertical="top" wrapText="1"/>
    </xf>
    <xf numFmtId="0" fontId="12" fillId="13" borderId="4" xfId="2" applyFont="1" applyFill="1" applyBorder="1" applyAlignment="1">
      <alignment horizontal="center" vertical="top" wrapText="1"/>
    </xf>
    <xf numFmtId="0" fontId="12" fillId="9" borderId="4" xfId="0" applyFont="1" applyFill="1" applyBorder="1" applyAlignment="1">
      <alignment horizontal="left" vertical="center" wrapText="1"/>
    </xf>
    <xf numFmtId="0" fontId="12" fillId="12" borderId="4" xfId="0" applyFont="1" applyFill="1" applyBorder="1" applyAlignment="1">
      <alignment horizontal="left" vertical="top" wrapText="1"/>
    </xf>
    <xf numFmtId="0" fontId="12" fillId="13" borderId="4" xfId="0" applyFont="1" applyFill="1" applyBorder="1" applyAlignment="1">
      <alignment horizontal="center" vertical="top" wrapText="1"/>
    </xf>
    <xf numFmtId="0" fontId="31" fillId="0" borderId="4" xfId="0" applyFont="1" applyBorder="1" applyAlignment="1">
      <alignment horizontal="left" vertical="top" wrapText="1"/>
    </xf>
    <xf numFmtId="0" fontId="12" fillId="12" borderId="4" xfId="0" applyFont="1" applyFill="1" applyBorder="1" applyAlignment="1">
      <alignment horizontal="center" vertical="top" wrapText="1"/>
    </xf>
    <xf numFmtId="0" fontId="26" fillId="0" borderId="4" xfId="0" applyFont="1" applyBorder="1" applyAlignment="1">
      <alignment horizontal="left" vertical="top" wrapText="1"/>
    </xf>
    <xf numFmtId="0" fontId="12" fillId="12" borderId="4" xfId="2" applyFont="1" applyFill="1" applyBorder="1" applyAlignment="1">
      <alignment horizontal="center" vertical="top" wrapText="1"/>
    </xf>
    <xf numFmtId="0" fontId="32" fillId="11" borderId="0" xfId="0" applyFont="1" applyFill="1" applyAlignment="1">
      <alignment horizontal="left" vertical="center"/>
    </xf>
    <xf numFmtId="0" fontId="33" fillId="6" borderId="4" xfId="0" applyFont="1" applyFill="1" applyBorder="1" applyAlignment="1">
      <alignment horizontal="left" vertical="center" wrapText="1"/>
    </xf>
    <xf numFmtId="0" fontId="34" fillId="12" borderId="4" xfId="0" applyFont="1" applyFill="1" applyBorder="1" applyAlignment="1">
      <alignment horizontal="left" vertical="top" wrapText="1"/>
    </xf>
    <xf numFmtId="0" fontId="35" fillId="0" borderId="4" xfId="0" applyFont="1" applyBorder="1" applyAlignment="1">
      <alignment horizontal="left" vertical="top" wrapText="1"/>
    </xf>
    <xf numFmtId="0" fontId="33" fillId="6" borderId="4" xfId="0" applyFont="1" applyFill="1" applyBorder="1" applyAlignment="1">
      <alignment horizontal="center" vertical="center" wrapText="1"/>
    </xf>
    <xf numFmtId="0" fontId="34" fillId="13" borderId="4" xfId="0" applyFont="1" applyFill="1" applyBorder="1" applyAlignment="1">
      <alignment horizontal="center" vertical="center" wrapText="1"/>
    </xf>
    <xf numFmtId="0" fontId="34" fillId="13" borderId="4" xfId="0" applyFont="1" applyFill="1" applyBorder="1" applyAlignment="1">
      <alignment horizontal="left" vertical="top" wrapText="1"/>
    </xf>
    <xf numFmtId="0" fontId="34" fillId="13" borderId="4" xfId="0" applyFont="1" applyFill="1" applyBorder="1" applyAlignment="1">
      <alignment horizontal="center" vertical="top" wrapText="1"/>
    </xf>
    <xf numFmtId="0" fontId="34" fillId="10" borderId="4" xfId="0" applyFont="1" applyFill="1" applyBorder="1" applyAlignment="1">
      <alignment horizontal="center" vertical="center" wrapText="1"/>
    </xf>
    <xf numFmtId="0" fontId="34" fillId="10" borderId="4" xfId="0" applyFont="1" applyFill="1" applyBorder="1" applyAlignment="1">
      <alignment horizontal="left" vertical="top" wrapText="1"/>
    </xf>
    <xf numFmtId="0" fontId="34" fillId="10" borderId="4" xfId="0" applyFont="1" applyFill="1" applyBorder="1" applyAlignment="1">
      <alignment horizontal="center" vertical="top" wrapText="1"/>
    </xf>
    <xf numFmtId="0" fontId="34" fillId="12" borderId="4" xfId="0" applyFont="1" applyFill="1" applyBorder="1" applyAlignment="1">
      <alignment horizontal="center" vertical="center" wrapText="1"/>
    </xf>
    <xf numFmtId="0" fontId="34" fillId="12" borderId="4" xfId="0" applyFont="1" applyFill="1" applyBorder="1" applyAlignment="1">
      <alignment horizontal="center" vertical="top" wrapText="1"/>
    </xf>
    <xf numFmtId="0" fontId="12" fillId="0" borderId="5" xfId="0" applyFont="1" applyBorder="1" applyAlignment="1">
      <alignment horizontal="left" vertical="center" wrapText="1"/>
    </xf>
    <xf numFmtId="3" fontId="14" fillId="0" borderId="5" xfId="0" applyNumberFormat="1" applyFont="1" applyBorder="1" applyAlignment="1">
      <alignment horizontal="center" vertical="center" wrapText="1"/>
    </xf>
    <xf numFmtId="2" fontId="12" fillId="19" borderId="5" xfId="0" applyNumberFormat="1" applyFont="1" applyFill="1" applyBorder="1" applyAlignment="1">
      <alignment horizontal="center" vertical="center" wrapText="1"/>
    </xf>
    <xf numFmtId="0" fontId="12" fillId="19" borderId="5" xfId="0" applyFont="1" applyFill="1" applyBorder="1" applyAlignment="1">
      <alignment horizontal="center" vertical="center" wrapText="1"/>
    </xf>
    <xf numFmtId="0" fontId="37" fillId="30" borderId="4" xfId="2" applyFont="1" applyFill="1" applyBorder="1" applyAlignment="1">
      <alignment horizontal="center" vertical="center"/>
    </xf>
    <xf numFmtId="166" fontId="37" fillId="30" borderId="4" xfId="2" applyNumberFormat="1" applyFont="1" applyFill="1" applyBorder="1" applyAlignment="1">
      <alignment horizontal="center" vertical="center"/>
    </xf>
    <xf numFmtId="4" fontId="37" fillId="30" borderId="4" xfId="2" applyNumberFormat="1" applyFont="1" applyFill="1" applyBorder="1" applyAlignment="1">
      <alignment horizontal="center" vertical="center"/>
    </xf>
    <xf numFmtId="0" fontId="37" fillId="30" borderId="4" xfId="2" applyFont="1" applyFill="1" applyBorder="1" applyAlignment="1">
      <alignment horizontal="left" vertical="center"/>
    </xf>
    <xf numFmtId="166" fontId="37" fillId="31" borderId="4" xfId="2" applyNumberFormat="1" applyFont="1" applyFill="1" applyBorder="1" applyAlignment="1">
      <alignment horizontal="center" vertical="center"/>
    </xf>
    <xf numFmtId="4" fontId="37" fillId="31" borderId="4" xfId="2" applyNumberFormat="1" applyFont="1" applyFill="1" applyBorder="1" applyAlignment="1">
      <alignment horizontal="center" vertical="center"/>
    </xf>
    <xf numFmtId="0" fontId="37" fillId="31" borderId="4" xfId="2" applyFont="1" applyFill="1" applyBorder="1" applyAlignment="1">
      <alignment horizontal="left" vertical="center"/>
    </xf>
    <xf numFmtId="0" fontId="37" fillId="31" borderId="4" xfId="2" applyFont="1" applyFill="1" applyBorder="1" applyAlignment="1">
      <alignment horizontal="center" vertical="center"/>
    </xf>
    <xf numFmtId="166" fontId="37" fillId="32" borderId="4" xfId="2" applyNumberFormat="1" applyFont="1" applyFill="1" applyBorder="1" applyAlignment="1">
      <alignment horizontal="center" vertical="center"/>
    </xf>
    <xf numFmtId="4" fontId="37" fillId="32" borderId="4" xfId="2" applyNumberFormat="1" applyFont="1" applyFill="1" applyBorder="1" applyAlignment="1">
      <alignment horizontal="center" vertical="center"/>
    </xf>
    <xf numFmtId="0" fontId="37" fillId="32" borderId="4" xfId="2" applyFont="1" applyFill="1" applyBorder="1" applyAlignment="1">
      <alignment horizontal="left" vertical="center"/>
    </xf>
    <xf numFmtId="0" fontId="37" fillId="32" borderId="4" xfId="2" applyFont="1" applyFill="1" applyBorder="1" applyAlignment="1">
      <alignment horizontal="center" vertical="center"/>
    </xf>
    <xf numFmtId="166" fontId="3" fillId="33" borderId="4" xfId="2" applyNumberFormat="1" applyFont="1" applyFill="1" applyBorder="1" applyAlignment="1">
      <alignment horizontal="center" vertical="center"/>
    </xf>
    <xf numFmtId="4" fontId="3" fillId="33" borderId="4" xfId="2" applyNumberFormat="1" applyFont="1" applyFill="1" applyBorder="1" applyAlignment="1">
      <alignment horizontal="center" vertical="center"/>
    </xf>
    <xf numFmtId="0" fontId="3" fillId="33" borderId="4" xfId="2" applyFont="1" applyFill="1" applyBorder="1" applyAlignment="1">
      <alignment horizontal="left" vertical="center"/>
    </xf>
    <xf numFmtId="1" fontId="3" fillId="33" borderId="4" xfId="2" applyNumberFormat="1" applyFont="1" applyFill="1" applyBorder="1" applyAlignment="1">
      <alignment horizontal="center" vertical="center"/>
    </xf>
    <xf numFmtId="166" fontId="3" fillId="0" borderId="4" xfId="2" applyNumberFormat="1" applyFont="1" applyBorder="1" applyAlignment="1">
      <alignment horizontal="center" vertical="center"/>
    </xf>
    <xf numFmtId="4" fontId="3" fillId="0" borderId="4" xfId="2" applyNumberFormat="1" applyFont="1" applyBorder="1" applyAlignment="1">
      <alignment horizontal="center" vertical="center"/>
    </xf>
    <xf numFmtId="0" fontId="3" fillId="0" borderId="4" xfId="2" applyFont="1" applyBorder="1" applyAlignment="1">
      <alignment horizontal="left" vertical="center"/>
    </xf>
    <xf numFmtId="1" fontId="3" fillId="0" borderId="4" xfId="2" applyNumberFormat="1" applyFont="1" applyBorder="1" applyAlignment="1">
      <alignment horizontal="center" vertical="center"/>
    </xf>
    <xf numFmtId="0" fontId="11" fillId="34" borderId="4" xfId="2" applyFont="1" applyFill="1" applyBorder="1" applyAlignment="1">
      <alignment horizontal="center" vertical="center"/>
    </xf>
    <xf numFmtId="0" fontId="38" fillId="0" borderId="3" xfId="2" applyFont="1"/>
    <xf numFmtId="0" fontId="5" fillId="0" borderId="3" xfId="3"/>
    <xf numFmtId="4" fontId="39" fillId="0" borderId="4" xfId="3" applyNumberFormat="1" applyFont="1" applyBorder="1" applyAlignment="1">
      <alignment horizontal="center" vertical="center"/>
    </xf>
    <xf numFmtId="0" fontId="39" fillId="0" borderId="4" xfId="3" applyFont="1" applyBorder="1" applyAlignment="1">
      <alignment horizontal="center" vertical="center"/>
    </xf>
    <xf numFmtId="1" fontId="39" fillId="0" borderId="4" xfId="3" applyNumberFormat="1" applyFont="1" applyBorder="1" applyAlignment="1">
      <alignment horizontal="left" vertical="center"/>
    </xf>
    <xf numFmtId="0" fontId="39" fillId="0" borderId="4" xfId="3" applyFont="1" applyBorder="1" applyAlignment="1">
      <alignment horizontal="left" vertical="center"/>
    </xf>
    <xf numFmtId="0" fontId="25" fillId="38" borderId="4" xfId="3" applyFont="1" applyFill="1" applyBorder="1" applyAlignment="1">
      <alignment horizontal="center" vertical="center" wrapText="1"/>
    </xf>
    <xf numFmtId="164" fontId="39" fillId="0" borderId="4" xfId="3" applyNumberFormat="1" applyFont="1" applyBorder="1" applyAlignment="1">
      <alignment horizontal="center" vertical="center"/>
    </xf>
    <xf numFmtId="1" fontId="39" fillId="0" borderId="4" xfId="3" applyNumberFormat="1" applyFont="1" applyBorder="1" applyAlignment="1">
      <alignment horizontal="center" vertical="center"/>
    </xf>
    <xf numFmtId="0" fontId="39" fillId="4" borderId="4" xfId="3" applyFont="1" applyFill="1" applyBorder="1" applyAlignment="1">
      <alignment horizontal="left" vertical="center"/>
    </xf>
    <xf numFmtId="0" fontId="39" fillId="40" borderId="4" xfId="3" applyFont="1" applyFill="1" applyBorder="1" applyAlignment="1">
      <alignment horizontal="left" vertical="center"/>
    </xf>
    <xf numFmtId="0" fontId="39" fillId="41" borderId="4" xfId="3" applyFont="1" applyFill="1" applyBorder="1" applyAlignment="1">
      <alignment horizontal="left" vertical="center"/>
    </xf>
    <xf numFmtId="0" fontId="39" fillId="4" borderId="4" xfId="3" applyFont="1" applyFill="1" applyBorder="1" applyAlignment="1">
      <alignment horizontal="center" vertical="center"/>
    </xf>
    <xf numFmtId="0" fontId="39" fillId="40" borderId="4" xfId="3" applyFont="1" applyFill="1" applyBorder="1" applyAlignment="1">
      <alignment horizontal="center" vertical="center"/>
    </xf>
    <xf numFmtId="0" fontId="39" fillId="41" borderId="4" xfId="3" applyFont="1" applyFill="1" applyBorder="1" applyAlignment="1">
      <alignment horizontal="center" vertical="center"/>
    </xf>
    <xf numFmtId="2" fontId="0" fillId="0" borderId="0" xfId="0" applyNumberFormat="1"/>
    <xf numFmtId="0" fontId="40" fillId="43" borderId="0" xfId="0" applyFont="1" applyFill="1" applyAlignment="1">
      <alignment wrapText="1"/>
    </xf>
    <xf numFmtId="0" fontId="41" fillId="44" borderId="0" xfId="0" applyFont="1" applyFill="1" applyAlignment="1">
      <alignment wrapText="1"/>
    </xf>
    <xf numFmtId="0" fontId="6" fillId="0" borderId="0" xfId="0" applyFont="1" applyAlignment="1">
      <alignment vertical="top" wrapText="1"/>
    </xf>
    <xf numFmtId="0" fontId="12" fillId="25" borderId="4" xfId="0" applyFont="1" applyFill="1" applyBorder="1" applyAlignment="1">
      <alignment horizontal="left" vertical="top" wrapText="1"/>
    </xf>
    <xf numFmtId="0" fontId="41" fillId="11" borderId="0" xfId="0" applyFont="1" applyFill="1" applyAlignment="1">
      <alignment wrapText="1"/>
    </xf>
    <xf numFmtId="0" fontId="17" fillId="0" borderId="0" xfId="0" applyFont="1" applyAlignment="1">
      <alignment horizontal="left" vertical="center" wrapText="1"/>
    </xf>
    <xf numFmtId="0" fontId="1" fillId="2" borderId="1" xfId="0" applyFont="1" applyFill="1" applyBorder="1" applyAlignment="1">
      <alignment vertical="center"/>
    </xf>
    <xf numFmtId="0" fontId="2" fillId="0" borderId="2" xfId="0" applyFont="1" applyBorder="1"/>
    <xf numFmtId="0" fontId="4" fillId="5" borderId="5" xfId="0" applyFont="1" applyFill="1" applyBorder="1" applyAlignment="1">
      <alignment horizontal="left" vertical="center" wrapText="1"/>
    </xf>
    <xf numFmtId="0" fontId="12" fillId="12" borderId="4" xfId="0" applyFont="1" applyFill="1" applyBorder="1" applyAlignment="1">
      <alignment horizontal="center" vertical="center" wrapText="1"/>
    </xf>
    <xf numFmtId="0" fontId="12" fillId="0" borderId="5" xfId="0" applyFont="1" applyBorder="1" applyAlignment="1">
      <alignment horizontal="left" vertical="center" wrapText="1"/>
    </xf>
    <xf numFmtId="0" fontId="12" fillId="0" borderId="10" xfId="0" applyFont="1" applyBorder="1" applyAlignment="1">
      <alignment horizontal="left" vertical="center" wrapText="1"/>
    </xf>
    <xf numFmtId="0" fontId="20" fillId="11" borderId="0" xfId="0" applyFont="1" applyFill="1" applyAlignment="1">
      <alignment horizontal="left" vertical="center"/>
    </xf>
    <xf numFmtId="0" fontId="11" fillId="6" borderId="4" xfId="0" applyFont="1" applyFill="1" applyBorder="1" applyAlignment="1">
      <alignment horizontal="left" vertical="center" wrapText="1"/>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4" fillId="0" borderId="10" xfId="0" applyFont="1" applyBorder="1" applyAlignment="1">
      <alignment horizontal="left" vertical="center" wrapText="1"/>
    </xf>
    <xf numFmtId="0" fontId="17" fillId="0" borderId="5" xfId="0" applyFont="1" applyBorder="1" applyAlignment="1">
      <alignment horizontal="left" vertical="center" wrapText="1"/>
    </xf>
    <xf numFmtId="0" fontId="18" fillId="10" borderId="5" xfId="0" applyFont="1" applyFill="1" applyBorder="1" applyAlignment="1">
      <alignment horizontal="left" vertical="top" wrapText="1"/>
    </xf>
    <xf numFmtId="0" fontId="11" fillId="6" borderId="5" xfId="0" applyFont="1" applyFill="1" applyBorder="1" applyAlignment="1">
      <alignment horizontal="left" vertical="center" wrapText="1"/>
    </xf>
    <xf numFmtId="0" fontId="12" fillId="12" borderId="4" xfId="0" applyFont="1" applyFill="1" applyBorder="1" applyAlignment="1">
      <alignment horizontal="left" vertical="center" wrapText="1"/>
    </xf>
    <xf numFmtId="0" fontId="14" fillId="0" borderId="11" xfId="0" applyFont="1" applyBorder="1" applyAlignment="1">
      <alignment horizontal="left" vertical="center" wrapText="1"/>
    </xf>
    <xf numFmtId="0" fontId="22" fillId="0" borderId="5" xfId="0" applyFont="1" applyBorder="1" applyAlignment="1">
      <alignment horizontal="left" vertical="center" wrapText="1"/>
    </xf>
    <xf numFmtId="0" fontId="12" fillId="12" borderId="6" xfId="0" applyFont="1" applyFill="1" applyBorder="1" applyAlignment="1">
      <alignment horizontal="center" vertical="center" wrapText="1"/>
    </xf>
    <xf numFmtId="0" fontId="12" fillId="1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2" xfId="0" applyFont="1" applyFill="1" applyBorder="1" applyAlignment="1">
      <alignment horizontal="center" vertical="center" wrapText="1"/>
    </xf>
    <xf numFmtId="0" fontId="12" fillId="12" borderId="14" xfId="0" applyFont="1" applyFill="1" applyBorder="1" applyAlignment="1">
      <alignment horizontal="center" vertical="center" wrapText="1"/>
    </xf>
    <xf numFmtId="0" fontId="29" fillId="0" borderId="5" xfId="0" applyFont="1" applyBorder="1" applyAlignment="1">
      <alignment horizontal="left" vertical="center" wrapText="1"/>
    </xf>
    <xf numFmtId="0" fontId="4" fillId="8" borderId="5" xfId="2" applyFont="1" applyFill="1" applyBorder="1" applyAlignment="1">
      <alignment horizontal="left" vertical="center" wrapText="1"/>
    </xf>
    <xf numFmtId="0" fontId="20" fillId="11" borderId="3" xfId="2" applyFont="1" applyFill="1" applyAlignment="1">
      <alignment horizontal="left" vertical="center"/>
    </xf>
    <xf numFmtId="0" fontId="17" fillId="0" borderId="3" xfId="2" applyFont="1" applyAlignment="1">
      <alignment horizontal="left" vertical="center" wrapText="1"/>
    </xf>
    <xf numFmtId="0" fontId="14" fillId="18" borderId="5" xfId="2" applyFont="1" applyFill="1" applyBorder="1" applyAlignment="1">
      <alignment horizontal="left" vertical="top" wrapText="1"/>
    </xf>
    <xf numFmtId="0" fontId="24" fillId="20" borderId="5" xfId="2" applyFont="1" applyFill="1" applyBorder="1" applyAlignment="1">
      <alignment horizontal="left" vertical="top" wrapText="1"/>
    </xf>
    <xf numFmtId="0" fontId="14" fillId="0" borderId="5" xfId="2" applyFont="1" applyBorder="1" applyAlignment="1">
      <alignment horizontal="left" vertical="top" wrapText="1"/>
    </xf>
    <xf numFmtId="0" fontId="12" fillId="19" borderId="5" xfId="2" applyFont="1" applyFill="1" applyBorder="1" applyAlignment="1">
      <alignment horizontal="left" vertical="top" wrapText="1"/>
    </xf>
    <xf numFmtId="0" fontId="12" fillId="21" borderId="5" xfId="2" applyFont="1" applyFill="1" applyBorder="1" applyAlignment="1">
      <alignment horizontal="left" vertical="top" wrapText="1"/>
    </xf>
    <xf numFmtId="0" fontId="12" fillId="14" borderId="5" xfId="2" applyFont="1" applyFill="1" applyBorder="1" applyAlignment="1">
      <alignment horizontal="left" vertical="top" wrapText="1"/>
    </xf>
    <xf numFmtId="0" fontId="14" fillId="12" borderId="5" xfId="2" applyFont="1" applyFill="1" applyBorder="1" applyAlignment="1">
      <alignment horizontal="left" vertical="top" wrapText="1"/>
    </xf>
    <xf numFmtId="0" fontId="14" fillId="10" borderId="5" xfId="2" applyFont="1" applyFill="1" applyBorder="1" applyAlignment="1">
      <alignment horizontal="left" vertical="top" wrapText="1"/>
    </xf>
    <xf numFmtId="0" fontId="14" fillId="14" borderId="5" xfId="2" applyFont="1" applyFill="1" applyBorder="1" applyAlignment="1">
      <alignment horizontal="left" vertical="top" wrapText="1"/>
    </xf>
    <xf numFmtId="0" fontId="11" fillId="6" borderId="19" xfId="2" applyFont="1" applyFill="1" applyBorder="1" applyAlignment="1">
      <alignment horizontal="left" vertical="center" wrapText="1"/>
    </xf>
    <xf numFmtId="0" fontId="11" fillId="6" borderId="20" xfId="2" applyFont="1" applyFill="1" applyBorder="1" applyAlignment="1">
      <alignment horizontal="left" vertical="center" wrapText="1"/>
    </xf>
    <xf numFmtId="0" fontId="11" fillId="6" borderId="21" xfId="2" applyFont="1" applyFill="1" applyBorder="1" applyAlignment="1">
      <alignment horizontal="left" vertical="center" wrapText="1"/>
    </xf>
    <xf numFmtId="0" fontId="14" fillId="0" borderId="17" xfId="2" applyFont="1" applyBorder="1" applyAlignment="1">
      <alignment horizontal="left" vertical="top" wrapText="1"/>
    </xf>
    <xf numFmtId="0" fontId="14" fillId="0" borderId="15" xfId="2" applyFont="1" applyBorder="1" applyAlignment="1">
      <alignment horizontal="left" vertical="top" wrapText="1"/>
    </xf>
    <xf numFmtId="0" fontId="14" fillId="0" borderId="18" xfId="2" applyFont="1" applyBorder="1" applyAlignment="1">
      <alignment horizontal="left" vertical="top" wrapText="1"/>
    </xf>
    <xf numFmtId="0" fontId="14" fillId="0" borderId="16" xfId="2" applyFont="1" applyBorder="1" applyAlignment="1">
      <alignment horizontal="left" vertical="top" wrapText="1"/>
    </xf>
    <xf numFmtId="0" fontId="12" fillId="24" borderId="13" xfId="0" applyFont="1" applyFill="1" applyBorder="1" applyAlignment="1">
      <alignment horizontal="left" vertical="center" wrapText="1"/>
    </xf>
    <xf numFmtId="0" fontId="25" fillId="23" borderId="13" xfId="0" applyFont="1" applyFill="1" applyBorder="1" applyAlignment="1">
      <alignment horizontal="left" vertical="center" wrapText="1"/>
    </xf>
    <xf numFmtId="0" fontId="25" fillId="23" borderId="13" xfId="0" applyFont="1" applyFill="1" applyBorder="1" applyAlignment="1">
      <alignment horizontal="center" vertical="center" wrapText="1"/>
    </xf>
    <xf numFmtId="0" fontId="14" fillId="25" borderId="13" xfId="0" applyFont="1" applyFill="1" applyBorder="1" applyAlignment="1">
      <alignment horizontal="left" vertical="center" wrapText="1"/>
    </xf>
    <xf numFmtId="0" fontId="20" fillId="26" borderId="0" xfId="0" applyFont="1" applyFill="1" applyAlignment="1">
      <alignment horizontal="left" vertical="center"/>
    </xf>
    <xf numFmtId="0" fontId="12" fillId="27" borderId="5" xfId="0" applyFont="1" applyFill="1" applyBorder="1" applyAlignment="1">
      <alignment horizontal="left" vertical="top" wrapText="1"/>
    </xf>
    <xf numFmtId="0" fontId="4" fillId="8" borderId="5" xfId="0" applyFont="1" applyFill="1" applyBorder="1" applyAlignment="1">
      <alignment horizontal="left" vertical="top" wrapText="1"/>
    </xf>
    <xf numFmtId="0" fontId="12" fillId="24" borderId="5" xfId="0" applyFont="1" applyFill="1" applyBorder="1" applyAlignment="1">
      <alignment horizontal="left" vertical="top" wrapText="1"/>
    </xf>
    <xf numFmtId="0" fontId="4" fillId="35" borderId="3" xfId="2" applyFont="1" applyFill="1" applyAlignment="1">
      <alignment vertical="center"/>
    </xf>
    <xf numFmtId="0" fontId="23" fillId="37" borderId="3" xfId="2" applyFont="1" applyFill="1" applyAlignment="1">
      <alignment vertical="center"/>
    </xf>
    <xf numFmtId="0" fontId="4" fillId="36" borderId="3" xfId="2" applyFont="1" applyFill="1" applyAlignment="1">
      <alignment vertical="center"/>
    </xf>
    <xf numFmtId="0" fontId="20" fillId="16" borderId="0" xfId="0" applyFont="1" applyFill="1" applyAlignment="1">
      <alignment horizontal="left" vertical="center"/>
    </xf>
    <xf numFmtId="0" fontId="25" fillId="8" borderId="4" xfId="0" applyFont="1" applyFill="1" applyBorder="1" applyAlignment="1">
      <alignment horizontal="left" vertical="center" wrapText="1"/>
    </xf>
    <xf numFmtId="0" fontId="14" fillId="12" borderId="4" xfId="0" applyFont="1" applyFill="1" applyBorder="1" applyAlignment="1">
      <alignment horizontal="left" vertical="top" wrapText="1"/>
    </xf>
    <xf numFmtId="0" fontId="25" fillId="8" borderId="5" xfId="0" applyFont="1" applyFill="1" applyBorder="1" applyAlignment="1">
      <alignment horizontal="left" vertical="center" wrapText="1"/>
    </xf>
    <xf numFmtId="0" fontId="14" fillId="12" borderId="5" xfId="0" applyFont="1" applyFill="1" applyBorder="1" applyAlignment="1">
      <alignment horizontal="left" vertical="center" wrapText="1"/>
    </xf>
    <xf numFmtId="0" fontId="14" fillId="19" borderId="4" xfId="0" applyFont="1" applyFill="1" applyBorder="1" applyAlignment="1">
      <alignment horizontal="left" vertical="top" wrapText="1"/>
    </xf>
    <xf numFmtId="0" fontId="14" fillId="10" borderId="4" xfId="0" applyFont="1" applyFill="1" applyBorder="1" applyAlignment="1">
      <alignment horizontal="left" vertical="top" wrapText="1"/>
    </xf>
    <xf numFmtId="0" fontId="14" fillId="13" borderId="4" xfId="0" applyFont="1" applyFill="1" applyBorder="1" applyAlignment="1">
      <alignment horizontal="left" vertical="top" wrapText="1"/>
    </xf>
    <xf numFmtId="0" fontId="8" fillId="0" borderId="5" xfId="2" applyFont="1" applyBorder="1" applyAlignment="1">
      <alignment horizontal="left" vertical="center" wrapText="1"/>
    </xf>
    <xf numFmtId="0" fontId="10" fillId="0" borderId="11" xfId="2" applyFont="1" applyBorder="1" applyAlignment="1">
      <alignment horizontal="left" vertical="center" wrapText="1"/>
    </xf>
    <xf numFmtId="0" fontId="12" fillId="19" borderId="4" xfId="0" applyFont="1" applyFill="1" applyBorder="1" applyAlignment="1">
      <alignment horizontal="left" vertical="top" wrapText="1"/>
    </xf>
    <xf numFmtId="0" fontId="12" fillId="10" borderId="4" xfId="0" applyFont="1" applyFill="1" applyBorder="1" applyAlignment="1">
      <alignment horizontal="left" vertical="top" wrapText="1"/>
    </xf>
    <xf numFmtId="0" fontId="12" fillId="10" borderId="5" xfId="2" applyFont="1" applyFill="1" applyBorder="1" applyAlignment="1">
      <alignment horizontal="left" vertical="top" wrapText="1"/>
    </xf>
    <xf numFmtId="0" fontId="4" fillId="39" borderId="3" xfId="3" applyFont="1" applyFill="1" applyAlignment="1">
      <alignment vertical="center"/>
    </xf>
    <xf numFmtId="0" fontId="5" fillId="0" borderId="3" xfId="3"/>
    <xf numFmtId="0" fontId="20" fillId="42" borderId="3" xfId="3" applyFont="1" applyFill="1" applyAlignment="1">
      <alignment vertical="center"/>
    </xf>
    <xf numFmtId="0" fontId="34" fillId="10" borderId="5" xfId="0" applyFont="1" applyFill="1" applyBorder="1" applyAlignment="1">
      <alignment horizontal="left" vertical="top" wrapText="1"/>
    </xf>
    <xf numFmtId="0" fontId="32" fillId="11" borderId="0" xfId="0" applyFont="1" applyFill="1" applyAlignment="1">
      <alignment horizontal="left" vertical="center"/>
    </xf>
    <xf numFmtId="0" fontId="36" fillId="0" borderId="0" xfId="0" applyFont="1" applyAlignment="1">
      <alignment horizontal="left" vertical="center" wrapText="1"/>
    </xf>
    <xf numFmtId="0" fontId="25" fillId="8" borderId="4" xfId="2" applyFont="1" applyFill="1" applyBorder="1" applyAlignment="1">
      <alignment horizontal="left" vertical="center" wrapText="1"/>
    </xf>
    <xf numFmtId="0" fontId="14" fillId="12" borderId="4" xfId="2" applyFont="1" applyFill="1" applyBorder="1" applyAlignment="1">
      <alignment horizontal="left" vertical="top" wrapText="1"/>
    </xf>
    <xf numFmtId="0" fontId="11" fillId="6" borderId="4" xfId="2" applyFont="1" applyFill="1" applyBorder="1" applyAlignment="1">
      <alignment horizontal="left" vertical="center" wrapText="1"/>
    </xf>
    <xf numFmtId="0" fontId="14" fillId="0" borderId="5" xfId="0" applyFont="1" applyBorder="1" applyAlignment="1">
      <alignment horizontal="left" vertical="top" wrapText="1"/>
    </xf>
    <xf numFmtId="0" fontId="14" fillId="7" borderId="4" xfId="2" applyFont="1" applyFill="1" applyBorder="1" applyAlignment="1">
      <alignment horizontal="left" vertical="top" wrapText="1"/>
    </xf>
    <xf numFmtId="0" fontId="5" fillId="0" borderId="3" xfId="2" applyFont="1"/>
  </cellXfs>
  <cellStyles count="4">
    <cellStyle name="Hyperlink" xfId="1" xr:uid="{00000000-0005-0000-0000-000000000000}"/>
    <cellStyle name="Normal" xfId="0" builtinId="0"/>
    <cellStyle name="Normal 2" xfId="2" xr:uid="{00000000-0005-0000-0000-000002000000}"/>
    <cellStyle name="Normal 3"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B28"/>
  <sheetViews>
    <sheetView showGridLines="0" workbookViewId="0"/>
  </sheetViews>
  <sheetFormatPr baseColWidth="10" defaultRowHeight="15" x14ac:dyDescent="0.2"/>
  <cols>
    <col min="1" max="1" width="105.1640625" customWidth="1"/>
    <col min="2" max="2" width="11" customWidth="1"/>
  </cols>
  <sheetData>
    <row r="1" spans="1:2" ht="19" x14ac:dyDescent="0.2">
      <c r="A1" s="37" t="s">
        <v>0</v>
      </c>
    </row>
    <row r="3" spans="1:2" x14ac:dyDescent="0.2">
      <c r="A3" s="39" t="s">
        <v>1</v>
      </c>
    </row>
    <row r="4" spans="1:2" ht="213" customHeight="1" x14ac:dyDescent="0.2">
      <c r="A4" s="38" t="s">
        <v>2</v>
      </c>
      <c r="B4" s="6"/>
    </row>
    <row r="6" spans="1:2" x14ac:dyDescent="0.2">
      <c r="A6" s="39" t="s">
        <v>3</v>
      </c>
    </row>
    <row r="7" spans="1:2" ht="126" x14ac:dyDescent="0.2">
      <c r="A7" s="38" t="s">
        <v>4</v>
      </c>
    </row>
    <row r="9" spans="1:2" x14ac:dyDescent="0.2">
      <c r="A9" s="39" t="s">
        <v>5</v>
      </c>
    </row>
    <row r="10" spans="1:2" ht="112" x14ac:dyDescent="0.2">
      <c r="A10" s="38" t="s">
        <v>6</v>
      </c>
    </row>
    <row r="12" spans="1:2" x14ac:dyDescent="0.2">
      <c r="A12" s="39" t="s">
        <v>7</v>
      </c>
    </row>
    <row r="13" spans="1:2" ht="193" customHeight="1" x14ac:dyDescent="0.2">
      <c r="A13" s="38" t="s">
        <v>1225</v>
      </c>
      <c r="B13" s="40"/>
    </row>
    <row r="15" spans="1:2" x14ac:dyDescent="0.2">
      <c r="A15" s="39" t="s">
        <v>8</v>
      </c>
    </row>
    <row r="16" spans="1:2" ht="107" customHeight="1" x14ac:dyDescent="0.2">
      <c r="A16" s="38" t="s">
        <v>1226</v>
      </c>
    </row>
    <row r="18" spans="1:2" x14ac:dyDescent="0.2">
      <c r="A18" s="39" t="s">
        <v>9</v>
      </c>
    </row>
    <row r="19" spans="1:2" ht="78" customHeight="1" x14ac:dyDescent="0.2">
      <c r="A19" s="38" t="s">
        <v>10</v>
      </c>
    </row>
    <row r="21" spans="1:2" x14ac:dyDescent="0.2">
      <c r="A21" s="39" t="s">
        <v>11</v>
      </c>
    </row>
    <row r="22" spans="1:2" ht="145" customHeight="1" x14ac:dyDescent="0.2">
      <c r="A22" s="38" t="s">
        <v>12</v>
      </c>
    </row>
    <row r="24" spans="1:2" x14ac:dyDescent="0.2">
      <c r="A24" s="39" t="s">
        <v>13</v>
      </c>
    </row>
    <row r="25" spans="1:2" ht="56" x14ac:dyDescent="0.2">
      <c r="A25" s="38" t="s">
        <v>14</v>
      </c>
    </row>
    <row r="27" spans="1:2" x14ac:dyDescent="0.2">
      <c r="A27" s="39" t="s">
        <v>15</v>
      </c>
    </row>
    <row r="28" spans="1:2" ht="266" x14ac:dyDescent="0.2">
      <c r="A28" s="38" t="s">
        <v>16</v>
      </c>
      <c r="B28"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5117038483843"/>
  </sheetPr>
  <dimension ref="A1:B71"/>
  <sheetViews>
    <sheetView showGridLines="0" workbookViewId="0">
      <selection sqref="A1:B1"/>
    </sheetView>
  </sheetViews>
  <sheetFormatPr baseColWidth="10" defaultColWidth="14.5" defaultRowHeight="15" x14ac:dyDescent="0.2"/>
  <cols>
    <col min="1" max="1" width="18.33203125" style="5" customWidth="1"/>
    <col min="2" max="2" width="81.1640625" style="42" customWidth="1"/>
    <col min="3" max="10" width="8.6640625" customWidth="1"/>
  </cols>
  <sheetData>
    <row r="1" spans="1:2" ht="20" x14ac:dyDescent="0.2">
      <c r="A1" s="180" t="s">
        <v>17</v>
      </c>
      <c r="B1" s="181"/>
    </row>
    <row r="2" spans="1:2" ht="27.75" customHeight="1" x14ac:dyDescent="0.2">
      <c r="A2" s="179" t="s">
        <v>18</v>
      </c>
      <c r="B2" s="179"/>
    </row>
    <row r="3" spans="1:2" x14ac:dyDescent="0.2">
      <c r="A3"/>
      <c r="B3"/>
    </row>
    <row r="4" spans="1:2" ht="32" customHeight="1" x14ac:dyDescent="0.2">
      <c r="A4" s="41" t="s">
        <v>19</v>
      </c>
      <c r="B4" s="33" t="s">
        <v>20</v>
      </c>
    </row>
    <row r="5" spans="1:2" ht="44" customHeight="1" x14ac:dyDescent="0.2">
      <c r="A5" s="41" t="s">
        <v>21</v>
      </c>
      <c r="B5" s="33" t="s">
        <v>1227</v>
      </c>
    </row>
    <row r="6" spans="1:2" ht="32" customHeight="1" x14ac:dyDescent="0.2">
      <c r="A6" s="41" t="s">
        <v>22</v>
      </c>
      <c r="B6" s="33" t="s">
        <v>23</v>
      </c>
    </row>
    <row r="7" spans="1:2" ht="65" x14ac:dyDescent="0.2">
      <c r="A7" s="41" t="s">
        <v>24</v>
      </c>
      <c r="B7" s="33" t="s">
        <v>25</v>
      </c>
    </row>
    <row r="8" spans="1:2" ht="104" x14ac:dyDescent="0.2">
      <c r="A8" s="41" t="s">
        <v>26</v>
      </c>
      <c r="B8" s="33" t="s">
        <v>1228</v>
      </c>
    </row>
    <row r="9" spans="1:2" ht="39" x14ac:dyDescent="0.2">
      <c r="A9" s="41" t="s">
        <v>27</v>
      </c>
      <c r="B9" s="33" t="s">
        <v>28</v>
      </c>
    </row>
    <row r="10" spans="1:2" ht="65" x14ac:dyDescent="0.2">
      <c r="A10" s="41" t="s">
        <v>29</v>
      </c>
      <c r="B10" s="33" t="s">
        <v>30</v>
      </c>
    </row>
    <row r="11" spans="1:2" ht="39" x14ac:dyDescent="0.2">
      <c r="A11" s="41" t="s">
        <v>31</v>
      </c>
      <c r="B11" s="33" t="s">
        <v>32</v>
      </c>
    </row>
    <row r="12" spans="1:2" ht="37.5" customHeight="1" x14ac:dyDescent="0.2">
      <c r="A12" s="41" t="s">
        <v>33</v>
      </c>
      <c r="B12" s="33" t="s">
        <v>34</v>
      </c>
    </row>
    <row r="13" spans="1:2" ht="43.5" customHeight="1" x14ac:dyDescent="0.2">
      <c r="A13" s="41" t="s">
        <v>35</v>
      </c>
      <c r="B13" s="33" t="s">
        <v>36</v>
      </c>
    </row>
    <row r="14" spans="1:2" x14ac:dyDescent="0.2">
      <c r="A14"/>
      <c r="B14"/>
    </row>
    <row r="15" spans="1:2" x14ac:dyDescent="0.2">
      <c r="A15"/>
      <c r="B15"/>
    </row>
    <row r="16" spans="1:2" x14ac:dyDescent="0.2">
      <c r="A16"/>
    </row>
    <row r="17" spans="1:1" x14ac:dyDescent="0.2">
      <c r="A17"/>
    </row>
    <row r="18" spans="1:1" x14ac:dyDescent="0.2">
      <c r="A18"/>
    </row>
    <row r="19" spans="1:1" x14ac:dyDescent="0.2">
      <c r="A19"/>
    </row>
    <row r="20" spans="1:1" x14ac:dyDescent="0.2">
      <c r="A20"/>
    </row>
    <row r="21" spans="1:1" x14ac:dyDescent="0.2">
      <c r="A21"/>
    </row>
    <row r="22" spans="1:1" x14ac:dyDescent="0.2">
      <c r="A22"/>
    </row>
    <row r="23" spans="1:1" x14ac:dyDescent="0.2">
      <c r="A23"/>
    </row>
    <row r="24" spans="1:1" x14ac:dyDescent="0.2">
      <c r="A24"/>
    </row>
    <row r="25" spans="1:1" x14ac:dyDescent="0.2">
      <c r="A25"/>
    </row>
    <row r="26" spans="1:1" x14ac:dyDescent="0.2">
      <c r="A26"/>
    </row>
    <row r="27" spans="1:1" x14ac:dyDescent="0.2">
      <c r="A27"/>
    </row>
    <row r="28" spans="1:1" x14ac:dyDescent="0.2">
      <c r="A28"/>
    </row>
    <row r="29" spans="1:1" x14ac:dyDescent="0.2">
      <c r="A29"/>
    </row>
    <row r="30" spans="1:1" x14ac:dyDescent="0.2">
      <c r="A30"/>
    </row>
    <row r="31" spans="1:1" x14ac:dyDescent="0.2">
      <c r="A31"/>
    </row>
    <row r="32" spans="1:1" x14ac:dyDescent="0.2">
      <c r="A32"/>
    </row>
    <row r="33" spans="1:1" x14ac:dyDescent="0.2">
      <c r="A33"/>
    </row>
    <row r="34" spans="1:1" x14ac:dyDescent="0.2">
      <c r="A34"/>
    </row>
    <row r="35" spans="1:1" x14ac:dyDescent="0.2">
      <c r="A35"/>
    </row>
    <row r="36" spans="1:1" x14ac:dyDescent="0.2">
      <c r="A36"/>
    </row>
    <row r="37" spans="1:1" x14ac:dyDescent="0.2">
      <c r="A37"/>
    </row>
    <row r="38" spans="1:1" x14ac:dyDescent="0.2">
      <c r="A38"/>
    </row>
    <row r="39" spans="1:1" x14ac:dyDescent="0.2">
      <c r="A39"/>
    </row>
    <row r="40" spans="1:1" x14ac:dyDescent="0.2">
      <c r="A40"/>
    </row>
    <row r="41" spans="1:1" x14ac:dyDescent="0.2">
      <c r="A41"/>
    </row>
    <row r="42" spans="1:1" x14ac:dyDescent="0.2">
      <c r="A42"/>
    </row>
    <row r="43" spans="1:1" x14ac:dyDescent="0.2">
      <c r="A43"/>
    </row>
    <row r="44" spans="1:1" x14ac:dyDescent="0.2">
      <c r="A44"/>
    </row>
    <row r="45" spans="1:1" x14ac:dyDescent="0.2">
      <c r="A45"/>
    </row>
    <row r="46" spans="1:1" x14ac:dyDescent="0.2">
      <c r="A46"/>
    </row>
    <row r="47" spans="1:1" x14ac:dyDescent="0.2">
      <c r="A47"/>
    </row>
    <row r="48" spans="1:1" x14ac:dyDescent="0.2">
      <c r="A48"/>
    </row>
    <row r="49" spans="1:1" x14ac:dyDescent="0.2">
      <c r="A49"/>
    </row>
    <row r="50" spans="1:1" x14ac:dyDescent="0.2">
      <c r="A50"/>
    </row>
    <row r="51" spans="1:1" x14ac:dyDescent="0.2">
      <c r="A51"/>
    </row>
    <row r="52" spans="1:1" x14ac:dyDescent="0.2">
      <c r="A52"/>
    </row>
    <row r="53" spans="1:1" x14ac:dyDescent="0.2">
      <c r="A53"/>
    </row>
    <row r="54" spans="1:1" x14ac:dyDescent="0.2">
      <c r="A54"/>
    </row>
    <row r="55" spans="1:1" x14ac:dyDescent="0.2">
      <c r="A55"/>
    </row>
    <row r="56" spans="1:1" x14ac:dyDescent="0.2">
      <c r="A56"/>
    </row>
    <row r="57" spans="1:1" x14ac:dyDescent="0.2">
      <c r="A57"/>
    </row>
    <row r="58" spans="1:1" x14ac:dyDescent="0.2">
      <c r="A58"/>
    </row>
    <row r="59" spans="1:1" x14ac:dyDescent="0.2">
      <c r="A59"/>
    </row>
    <row r="60" spans="1:1" x14ac:dyDescent="0.2">
      <c r="A60"/>
    </row>
    <row r="61" spans="1:1" x14ac:dyDescent="0.2">
      <c r="A61"/>
    </row>
    <row r="62" spans="1:1" x14ac:dyDescent="0.2">
      <c r="A62"/>
    </row>
    <row r="63" spans="1:1" x14ac:dyDescent="0.2">
      <c r="A63"/>
    </row>
    <row r="64" spans="1:1" x14ac:dyDescent="0.2">
      <c r="A64"/>
    </row>
    <row r="65" spans="1:1" x14ac:dyDescent="0.2">
      <c r="A65"/>
    </row>
    <row r="66" spans="1:1" x14ac:dyDescent="0.2">
      <c r="A66"/>
    </row>
    <row r="67" spans="1:1" x14ac:dyDescent="0.2">
      <c r="A67"/>
    </row>
    <row r="68" spans="1:1" x14ac:dyDescent="0.2">
      <c r="A68"/>
    </row>
    <row r="69" spans="1:1" x14ac:dyDescent="0.2">
      <c r="A69"/>
    </row>
    <row r="70" spans="1:1" x14ac:dyDescent="0.2">
      <c r="A70"/>
    </row>
    <row r="71" spans="1:1" x14ac:dyDescent="0.2">
      <c r="A71"/>
    </row>
  </sheetData>
  <mergeCells count="2">
    <mergeCell ref="A2:B2"/>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I79"/>
  <sheetViews>
    <sheetView showGridLines="0" workbookViewId="0">
      <selection activeCell="E20" sqref="E20:I25"/>
    </sheetView>
  </sheetViews>
  <sheetFormatPr baseColWidth="10" defaultColWidth="8.6640625" defaultRowHeight="15" x14ac:dyDescent="0.2"/>
  <cols>
    <col min="1" max="1" width="11.83203125" customWidth="1"/>
    <col min="2" max="2" width="22" customWidth="1"/>
    <col min="3" max="3" width="35.1640625" customWidth="1"/>
    <col min="4" max="4" width="40.83203125" customWidth="1"/>
    <col min="5" max="5" width="13.1640625" customWidth="1"/>
    <col min="6" max="6" width="22.33203125" customWidth="1"/>
    <col min="7" max="7" width="14" customWidth="1"/>
    <col min="8" max="9" width="23.83203125" customWidth="1"/>
  </cols>
  <sheetData>
    <row r="1" spans="1:9" ht="24" customHeight="1" x14ac:dyDescent="0.2">
      <c r="A1" s="186" t="s">
        <v>37</v>
      </c>
      <c r="B1" s="186"/>
      <c r="C1" s="186"/>
      <c r="D1" s="186"/>
      <c r="E1" s="186"/>
      <c r="F1" s="186"/>
      <c r="G1" s="186"/>
      <c r="H1" s="186"/>
      <c r="I1" s="186"/>
    </row>
    <row r="2" spans="1:9" ht="36" customHeight="1" x14ac:dyDescent="0.2">
      <c r="A2" s="179" t="s">
        <v>38</v>
      </c>
      <c r="B2" s="179"/>
      <c r="C2" s="179"/>
      <c r="D2" s="179"/>
      <c r="E2" s="179"/>
      <c r="F2" s="179"/>
      <c r="G2" s="179"/>
      <c r="H2" s="179"/>
      <c r="I2" s="179"/>
    </row>
    <row r="4" spans="1:9" ht="19.5" customHeight="1" x14ac:dyDescent="0.2">
      <c r="A4" s="182" t="s">
        <v>39</v>
      </c>
      <c r="B4" s="182"/>
      <c r="C4" s="182"/>
      <c r="D4" s="182"/>
      <c r="E4" s="182"/>
      <c r="F4" s="182"/>
      <c r="G4" s="182"/>
      <c r="H4" s="182"/>
      <c r="I4" s="182"/>
    </row>
    <row r="5" spans="1:9" ht="25.5" customHeight="1" x14ac:dyDescent="0.2">
      <c r="A5" s="11" t="s">
        <v>40</v>
      </c>
      <c r="B5" s="11" t="s">
        <v>41</v>
      </c>
      <c r="C5" s="11" t="s">
        <v>42</v>
      </c>
      <c r="D5" s="11" t="s">
        <v>43</v>
      </c>
      <c r="E5" s="11" t="s">
        <v>44</v>
      </c>
      <c r="F5" s="11" t="s">
        <v>45</v>
      </c>
      <c r="G5" s="11" t="s">
        <v>46</v>
      </c>
      <c r="H5" s="187" t="s">
        <v>47</v>
      </c>
      <c r="I5" s="187"/>
    </row>
    <row r="6" spans="1:9" s="2" customFormat="1" ht="39" x14ac:dyDescent="0.2">
      <c r="A6" s="66" t="s">
        <v>48</v>
      </c>
      <c r="B6" s="69" t="s">
        <v>49</v>
      </c>
      <c r="C6" s="70" t="s">
        <v>50</v>
      </c>
      <c r="D6" s="12" t="s">
        <v>51</v>
      </c>
      <c r="E6" s="12" t="s">
        <v>52</v>
      </c>
      <c r="F6" s="71" t="s">
        <v>53</v>
      </c>
      <c r="G6" s="12" t="s">
        <v>54</v>
      </c>
      <c r="H6" s="188" t="s">
        <v>55</v>
      </c>
      <c r="I6" s="188"/>
    </row>
    <row r="7" spans="1:9" s="2" customFormat="1" ht="39" x14ac:dyDescent="0.2">
      <c r="A7" s="36" t="s">
        <v>56</v>
      </c>
      <c r="B7" s="35" t="s">
        <v>57</v>
      </c>
      <c r="C7" s="72" t="s">
        <v>58</v>
      </c>
      <c r="D7" s="12" t="s">
        <v>59</v>
      </c>
      <c r="E7" s="12" t="s">
        <v>60</v>
      </c>
      <c r="F7" s="71" t="s">
        <v>61</v>
      </c>
      <c r="G7" s="12" t="s">
        <v>62</v>
      </c>
      <c r="H7" s="188" t="s">
        <v>63</v>
      </c>
      <c r="I7" s="188"/>
    </row>
    <row r="8" spans="1:9" s="2" customFormat="1" ht="39" x14ac:dyDescent="0.2">
      <c r="A8" s="36" t="s">
        <v>64</v>
      </c>
      <c r="B8" s="35" t="s">
        <v>65</v>
      </c>
      <c r="C8" s="72" t="s">
        <v>66</v>
      </c>
      <c r="D8" s="12" t="s">
        <v>67</v>
      </c>
      <c r="E8" s="12" t="s">
        <v>52</v>
      </c>
      <c r="F8" s="71" t="s">
        <v>68</v>
      </c>
      <c r="G8" s="12" t="s">
        <v>69</v>
      </c>
      <c r="H8" s="188" t="s">
        <v>70</v>
      </c>
      <c r="I8" s="188"/>
    </row>
    <row r="9" spans="1:9" s="2" customFormat="1" ht="26" x14ac:dyDescent="0.2">
      <c r="A9" s="36" t="s">
        <v>71</v>
      </c>
      <c r="B9" s="35" t="s">
        <v>72</v>
      </c>
      <c r="C9" s="72" t="s">
        <v>73</v>
      </c>
      <c r="D9" s="12" t="s">
        <v>74</v>
      </c>
      <c r="E9" s="12" t="s">
        <v>52</v>
      </c>
      <c r="F9" s="71" t="s">
        <v>75</v>
      </c>
      <c r="G9" s="12" t="s">
        <v>69</v>
      </c>
      <c r="H9" s="188" t="s">
        <v>76</v>
      </c>
      <c r="I9" s="188"/>
    </row>
    <row r="10" spans="1:9" s="2" customFormat="1" ht="39" x14ac:dyDescent="0.2">
      <c r="A10" s="67" t="s">
        <v>77</v>
      </c>
      <c r="B10" s="73" t="s">
        <v>78</v>
      </c>
      <c r="C10" s="74" t="s">
        <v>79</v>
      </c>
      <c r="D10" s="12" t="s">
        <v>80</v>
      </c>
      <c r="E10" s="12" t="s">
        <v>52</v>
      </c>
      <c r="F10" s="71" t="s">
        <v>81</v>
      </c>
      <c r="G10" s="12" t="s">
        <v>82</v>
      </c>
      <c r="H10" s="188" t="s">
        <v>83</v>
      </c>
      <c r="I10" s="188"/>
    </row>
    <row r="11" spans="1:9" s="2" customFormat="1" ht="39" x14ac:dyDescent="0.2">
      <c r="A11" s="36" t="s">
        <v>61</v>
      </c>
      <c r="B11" s="35" t="s">
        <v>84</v>
      </c>
      <c r="C11" s="72" t="s">
        <v>58</v>
      </c>
      <c r="D11" s="12" t="s">
        <v>85</v>
      </c>
      <c r="E11" s="12" t="s">
        <v>61</v>
      </c>
      <c r="F11" s="71" t="s">
        <v>61</v>
      </c>
      <c r="G11" s="12" t="s">
        <v>62</v>
      </c>
      <c r="H11" s="188" t="s">
        <v>86</v>
      </c>
      <c r="I11" s="188"/>
    </row>
    <row r="12" spans="1:9" s="2" customFormat="1" ht="39" x14ac:dyDescent="0.2">
      <c r="A12" s="68" t="s">
        <v>87</v>
      </c>
      <c r="B12" s="75" t="s">
        <v>88</v>
      </c>
      <c r="C12" s="76" t="s">
        <v>89</v>
      </c>
      <c r="D12" s="12" t="s">
        <v>90</v>
      </c>
      <c r="E12" s="12" t="s">
        <v>52</v>
      </c>
      <c r="F12" s="71" t="s">
        <v>91</v>
      </c>
      <c r="G12" s="12" t="s">
        <v>61</v>
      </c>
      <c r="H12" s="188" t="s">
        <v>92</v>
      </c>
      <c r="I12" s="188"/>
    </row>
    <row r="13" spans="1:9" s="2" customFormat="1" ht="39" x14ac:dyDescent="0.2">
      <c r="A13" s="68" t="s">
        <v>87</v>
      </c>
      <c r="B13" s="75" t="s">
        <v>93</v>
      </c>
      <c r="C13" s="76" t="s">
        <v>89</v>
      </c>
      <c r="D13" s="12" t="s">
        <v>94</v>
      </c>
      <c r="E13" s="12" t="s">
        <v>52</v>
      </c>
      <c r="F13" s="71" t="s">
        <v>61</v>
      </c>
      <c r="G13" s="12" t="s">
        <v>61</v>
      </c>
      <c r="H13" s="188" t="s">
        <v>95</v>
      </c>
      <c r="I13" s="188"/>
    </row>
    <row r="15" spans="1:9" ht="19.5" customHeight="1" x14ac:dyDescent="0.2">
      <c r="A15" s="182" t="s">
        <v>96</v>
      </c>
      <c r="B15" s="182"/>
      <c r="C15" s="182"/>
      <c r="D15" s="182"/>
      <c r="E15" s="182"/>
      <c r="F15" s="182"/>
      <c r="G15" s="182"/>
      <c r="H15" s="182"/>
      <c r="I15" s="182"/>
    </row>
    <row r="16" spans="1:9" ht="18" customHeight="1" x14ac:dyDescent="0.2">
      <c r="A16" s="187" t="s">
        <v>97</v>
      </c>
      <c r="B16" s="187"/>
      <c r="C16" s="187" t="s">
        <v>98</v>
      </c>
      <c r="D16" s="187"/>
      <c r="E16" s="187" t="s">
        <v>99</v>
      </c>
      <c r="F16" s="187"/>
      <c r="G16" s="187"/>
      <c r="H16" s="187"/>
      <c r="I16" s="187"/>
    </row>
    <row r="17" spans="1:9" ht="39.75" customHeight="1" x14ac:dyDescent="0.2">
      <c r="A17" s="183" t="s">
        <v>100</v>
      </c>
      <c r="B17" s="183"/>
      <c r="C17" s="189" t="s">
        <v>101</v>
      </c>
      <c r="D17" s="190"/>
      <c r="E17" s="188" t="s">
        <v>102</v>
      </c>
      <c r="F17" s="188"/>
      <c r="G17" s="188"/>
      <c r="H17" s="188"/>
      <c r="I17" s="188"/>
    </row>
    <row r="18" spans="1:9" ht="43.5" customHeight="1" x14ac:dyDescent="0.2">
      <c r="A18" s="183" t="s">
        <v>103</v>
      </c>
      <c r="B18" s="183"/>
      <c r="C18" s="189" t="s">
        <v>104</v>
      </c>
      <c r="D18" s="190"/>
      <c r="E18" s="188" t="s">
        <v>105</v>
      </c>
      <c r="F18" s="188"/>
      <c r="G18" s="188"/>
      <c r="H18" s="188"/>
      <c r="I18" s="188"/>
    </row>
    <row r="19" spans="1:9" ht="38" customHeight="1" x14ac:dyDescent="0.2">
      <c r="A19" s="197" t="s">
        <v>106</v>
      </c>
      <c r="B19" s="198"/>
      <c r="C19" s="189" t="s">
        <v>107</v>
      </c>
      <c r="D19" s="195"/>
      <c r="E19" s="195"/>
      <c r="F19" s="195"/>
      <c r="G19" s="195"/>
      <c r="H19" s="195"/>
      <c r="I19" s="190"/>
    </row>
    <row r="20" spans="1:9" ht="15" customHeight="1" x14ac:dyDescent="0.2">
      <c r="A20" s="199"/>
      <c r="B20" s="200"/>
      <c r="C20" s="184" t="s">
        <v>108</v>
      </c>
      <c r="D20" s="185"/>
      <c r="E20" s="203" t="s">
        <v>109</v>
      </c>
      <c r="F20" s="203"/>
      <c r="G20" s="203"/>
      <c r="H20" s="203"/>
      <c r="I20" s="203"/>
    </row>
    <row r="21" spans="1:9" ht="15" customHeight="1" x14ac:dyDescent="0.2">
      <c r="A21" s="199"/>
      <c r="B21" s="200"/>
      <c r="C21" s="184" t="s">
        <v>110</v>
      </c>
      <c r="D21" s="185"/>
      <c r="E21" s="203" t="s">
        <v>109</v>
      </c>
      <c r="F21" s="203"/>
      <c r="G21" s="203"/>
      <c r="H21" s="203"/>
      <c r="I21" s="203"/>
    </row>
    <row r="22" spans="1:9" ht="15" customHeight="1" x14ac:dyDescent="0.2">
      <c r="A22" s="199"/>
      <c r="B22" s="200"/>
      <c r="C22" s="184" t="s">
        <v>111</v>
      </c>
      <c r="D22" s="185"/>
      <c r="E22" s="203" t="s">
        <v>109</v>
      </c>
      <c r="F22" s="203"/>
      <c r="G22" s="203"/>
      <c r="H22" s="203"/>
      <c r="I22" s="203"/>
    </row>
    <row r="23" spans="1:9" ht="15" customHeight="1" x14ac:dyDescent="0.2">
      <c r="A23" s="199"/>
      <c r="B23" s="200"/>
      <c r="C23" s="184" t="s">
        <v>112</v>
      </c>
      <c r="D23" s="185"/>
      <c r="E23" s="203" t="s">
        <v>109</v>
      </c>
      <c r="F23" s="203"/>
      <c r="G23" s="203"/>
      <c r="H23" s="203"/>
      <c r="I23" s="203"/>
    </row>
    <row r="24" spans="1:9" ht="15" customHeight="1" x14ac:dyDescent="0.2">
      <c r="A24" s="199"/>
      <c r="B24" s="200"/>
      <c r="C24" s="184" t="s">
        <v>113</v>
      </c>
      <c r="D24" s="185"/>
      <c r="E24" s="203" t="s">
        <v>109</v>
      </c>
      <c r="F24" s="203"/>
      <c r="G24" s="203"/>
      <c r="H24" s="203"/>
      <c r="I24" s="203"/>
    </row>
    <row r="25" spans="1:9" ht="15" customHeight="1" x14ac:dyDescent="0.2">
      <c r="A25" s="199"/>
      <c r="B25" s="200"/>
      <c r="C25" s="184" t="s">
        <v>114</v>
      </c>
      <c r="D25" s="185"/>
      <c r="E25" s="203" t="s">
        <v>109</v>
      </c>
      <c r="F25" s="203"/>
      <c r="G25" s="203"/>
      <c r="H25" s="203"/>
      <c r="I25" s="203"/>
    </row>
    <row r="26" spans="1:9" ht="15" customHeight="1" x14ac:dyDescent="0.2">
      <c r="A26" s="199"/>
      <c r="B26" s="200"/>
      <c r="C26" s="184" t="s">
        <v>115</v>
      </c>
      <c r="D26" s="185"/>
      <c r="E26" s="196" t="s">
        <v>116</v>
      </c>
      <c r="F26" s="196"/>
      <c r="G26" s="196"/>
      <c r="H26" s="196"/>
      <c r="I26" s="196"/>
    </row>
    <row r="27" spans="1:9" ht="15" customHeight="1" x14ac:dyDescent="0.2">
      <c r="A27" s="199"/>
      <c r="B27" s="200"/>
      <c r="C27" s="184" t="s">
        <v>117</v>
      </c>
      <c r="D27" s="185"/>
      <c r="E27" s="196" t="s">
        <v>116</v>
      </c>
      <c r="F27" s="196"/>
      <c r="G27" s="196"/>
      <c r="H27" s="196"/>
      <c r="I27" s="196"/>
    </row>
    <row r="28" spans="1:9" ht="15" customHeight="1" x14ac:dyDescent="0.2">
      <c r="A28" s="199"/>
      <c r="B28" s="200"/>
      <c r="C28" s="184" t="s">
        <v>118</v>
      </c>
      <c r="D28" s="185"/>
      <c r="E28" s="196" t="s">
        <v>116</v>
      </c>
      <c r="F28" s="196"/>
      <c r="G28" s="196"/>
      <c r="H28" s="196"/>
      <c r="I28" s="196"/>
    </row>
    <row r="29" spans="1:9" ht="15" customHeight="1" x14ac:dyDescent="0.2">
      <c r="A29" s="201"/>
      <c r="B29" s="202"/>
      <c r="C29" s="184" t="s">
        <v>119</v>
      </c>
      <c r="D29" s="185"/>
      <c r="E29" s="196" t="s">
        <v>116</v>
      </c>
      <c r="F29" s="196"/>
      <c r="G29" s="196"/>
      <c r="H29" s="196"/>
      <c r="I29" s="196"/>
    </row>
    <row r="30" spans="1:9" ht="33" customHeight="1" x14ac:dyDescent="0.2">
      <c r="A30" s="197" t="s">
        <v>120</v>
      </c>
      <c r="B30" s="198"/>
      <c r="C30" s="189" t="s">
        <v>121</v>
      </c>
      <c r="D30" s="195"/>
      <c r="E30" s="195"/>
      <c r="F30" s="195"/>
      <c r="G30" s="195"/>
      <c r="H30" s="195"/>
      <c r="I30" s="190"/>
    </row>
    <row r="31" spans="1:9" ht="15" customHeight="1" x14ac:dyDescent="0.2">
      <c r="A31" s="199"/>
      <c r="B31" s="200"/>
      <c r="C31" s="184" t="s">
        <v>122</v>
      </c>
      <c r="D31" s="185"/>
      <c r="E31" s="189" t="s">
        <v>123</v>
      </c>
      <c r="F31" s="189"/>
      <c r="G31" s="189"/>
      <c r="H31" s="189"/>
      <c r="I31" s="189"/>
    </row>
    <row r="32" spans="1:9" ht="15" customHeight="1" x14ac:dyDescent="0.2">
      <c r="A32" s="199"/>
      <c r="B32" s="200"/>
      <c r="C32" s="184" t="s">
        <v>124</v>
      </c>
      <c r="D32" s="185"/>
      <c r="E32" s="189" t="s">
        <v>123</v>
      </c>
      <c r="F32" s="189"/>
      <c r="G32" s="189"/>
      <c r="H32" s="189"/>
      <c r="I32" s="189"/>
    </row>
    <row r="33" spans="1:9" ht="15" customHeight="1" x14ac:dyDescent="0.2">
      <c r="A33" s="199"/>
      <c r="B33" s="200"/>
      <c r="C33" s="184" t="s">
        <v>125</v>
      </c>
      <c r="D33" s="185"/>
      <c r="E33" s="189" t="s">
        <v>123</v>
      </c>
      <c r="F33" s="189"/>
      <c r="G33" s="189"/>
      <c r="H33" s="189"/>
      <c r="I33" s="189"/>
    </row>
    <row r="34" spans="1:9" ht="15" customHeight="1" x14ac:dyDescent="0.2">
      <c r="A34" s="199"/>
      <c r="B34" s="200"/>
      <c r="C34" s="184" t="s">
        <v>126</v>
      </c>
      <c r="D34" s="185"/>
      <c r="E34" s="189" t="s">
        <v>127</v>
      </c>
      <c r="F34" s="189"/>
      <c r="G34" s="189"/>
      <c r="H34" s="189"/>
      <c r="I34" s="189"/>
    </row>
    <row r="35" spans="1:9" ht="15" customHeight="1" x14ac:dyDescent="0.2">
      <c r="A35" s="199"/>
      <c r="B35" s="200"/>
      <c r="C35" s="184" t="s">
        <v>128</v>
      </c>
      <c r="D35" s="185"/>
      <c r="E35" s="189" t="s">
        <v>127</v>
      </c>
      <c r="F35" s="189"/>
      <c r="G35" s="189"/>
      <c r="H35" s="189"/>
      <c r="I35" s="189"/>
    </row>
    <row r="36" spans="1:9" ht="15" customHeight="1" x14ac:dyDescent="0.2">
      <c r="A36" s="199"/>
      <c r="B36" s="200"/>
      <c r="C36" s="184" t="s">
        <v>129</v>
      </c>
      <c r="D36" s="185"/>
      <c r="E36" s="189" t="s">
        <v>130</v>
      </c>
      <c r="F36" s="189"/>
      <c r="G36" s="189"/>
      <c r="H36" s="189"/>
      <c r="I36" s="189"/>
    </row>
    <row r="37" spans="1:9" ht="15" customHeight="1" x14ac:dyDescent="0.2">
      <c r="A37" s="199"/>
      <c r="B37" s="200"/>
      <c r="C37" s="184" t="s">
        <v>131</v>
      </c>
      <c r="D37" s="185"/>
      <c r="E37" s="189" t="s">
        <v>130</v>
      </c>
      <c r="F37" s="189"/>
      <c r="G37" s="189"/>
      <c r="H37" s="189"/>
      <c r="I37" s="189"/>
    </row>
    <row r="38" spans="1:9" ht="15" customHeight="1" x14ac:dyDescent="0.2">
      <c r="A38" s="199"/>
      <c r="B38" s="200"/>
      <c r="C38" s="184" t="s">
        <v>132</v>
      </c>
      <c r="D38" s="185"/>
      <c r="E38" s="189" t="s">
        <v>130</v>
      </c>
      <c r="F38" s="189"/>
      <c r="G38" s="189"/>
      <c r="H38" s="189"/>
      <c r="I38" s="189"/>
    </row>
    <row r="39" spans="1:9" ht="15" customHeight="1" x14ac:dyDescent="0.2">
      <c r="A39" s="199"/>
      <c r="B39" s="200"/>
      <c r="C39" s="184" t="s">
        <v>133</v>
      </c>
      <c r="D39" s="185"/>
      <c r="E39" s="189" t="s">
        <v>130</v>
      </c>
      <c r="F39" s="189"/>
      <c r="G39" s="189"/>
      <c r="H39" s="189"/>
      <c r="I39" s="189"/>
    </row>
    <row r="40" spans="1:9" ht="15" customHeight="1" x14ac:dyDescent="0.2">
      <c r="A40" s="201"/>
      <c r="B40" s="202"/>
      <c r="C40" s="184" t="s">
        <v>134</v>
      </c>
      <c r="D40" s="185"/>
      <c r="E40" s="189" t="s">
        <v>130</v>
      </c>
      <c r="F40" s="189"/>
      <c r="G40" s="189"/>
      <c r="H40" s="189"/>
      <c r="I40" s="189"/>
    </row>
    <row r="42" spans="1:9" ht="19.5" customHeight="1" x14ac:dyDescent="0.2">
      <c r="A42" s="182" t="s">
        <v>135</v>
      </c>
      <c r="B42" s="182"/>
      <c r="C42" s="182"/>
      <c r="D42" s="182"/>
      <c r="E42" s="182"/>
      <c r="F42" s="182"/>
      <c r="G42" s="182"/>
      <c r="H42" s="182"/>
      <c r="I42" s="182"/>
    </row>
    <row r="43" spans="1:9" s="2" customFormat="1" ht="49.5" customHeight="1" x14ac:dyDescent="0.2">
      <c r="A43" s="194" t="s">
        <v>136</v>
      </c>
      <c r="B43" s="194"/>
      <c r="C43" s="188" t="s">
        <v>137</v>
      </c>
      <c r="D43" s="188"/>
      <c r="E43" s="188"/>
      <c r="F43" s="188"/>
      <c r="G43" s="188"/>
      <c r="H43" s="188"/>
      <c r="I43" s="188"/>
    </row>
    <row r="44" spans="1:9" s="2" customFormat="1" ht="45.75" customHeight="1" x14ac:dyDescent="0.2">
      <c r="A44" s="194" t="s">
        <v>138</v>
      </c>
      <c r="B44" s="194"/>
      <c r="C44" s="188" t="s">
        <v>139</v>
      </c>
      <c r="D44" s="188"/>
      <c r="E44" s="188"/>
      <c r="F44" s="188"/>
      <c r="G44" s="188"/>
      <c r="H44" s="188"/>
      <c r="I44" s="188"/>
    </row>
    <row r="45" spans="1:9" s="2" customFormat="1" ht="39.75" customHeight="1" x14ac:dyDescent="0.2">
      <c r="A45" s="194" t="s">
        <v>140</v>
      </c>
      <c r="B45" s="194"/>
      <c r="C45" s="188" t="s">
        <v>141</v>
      </c>
      <c r="D45" s="188"/>
      <c r="E45" s="188"/>
      <c r="F45" s="188"/>
      <c r="G45" s="188"/>
      <c r="H45" s="188"/>
      <c r="I45" s="188"/>
    </row>
    <row r="47" spans="1:9" ht="19.5" customHeight="1" x14ac:dyDescent="0.2">
      <c r="A47" s="182" t="s">
        <v>142</v>
      </c>
      <c r="B47" s="182"/>
      <c r="C47" s="182"/>
      <c r="D47" s="182"/>
      <c r="E47" s="182"/>
      <c r="F47" s="182"/>
      <c r="G47" s="182"/>
      <c r="H47" s="182"/>
      <c r="I47" s="182"/>
    </row>
    <row r="48" spans="1:9" ht="18" customHeight="1" x14ac:dyDescent="0.2">
      <c r="A48" s="13" t="s">
        <v>40</v>
      </c>
      <c r="B48" s="11" t="s">
        <v>143</v>
      </c>
      <c r="C48" s="193" t="s">
        <v>144</v>
      </c>
      <c r="D48" s="193"/>
      <c r="E48" s="193"/>
      <c r="F48" s="193" t="s">
        <v>145</v>
      </c>
      <c r="G48" s="193"/>
      <c r="H48" s="193"/>
      <c r="I48" s="193"/>
    </row>
    <row r="49" spans="1:9" s="2" customFormat="1" ht="45.75" customHeight="1" x14ac:dyDescent="0.2">
      <c r="A49" s="36" t="s">
        <v>48</v>
      </c>
      <c r="B49" s="35" t="s">
        <v>146</v>
      </c>
      <c r="C49" s="188" t="s">
        <v>147</v>
      </c>
      <c r="D49" s="188"/>
      <c r="E49" s="188"/>
      <c r="F49" s="189" t="s">
        <v>148</v>
      </c>
      <c r="G49" s="189"/>
      <c r="H49" s="189"/>
      <c r="I49" s="189"/>
    </row>
    <row r="50" spans="1:9" s="2" customFormat="1" ht="45.75" customHeight="1" x14ac:dyDescent="0.2">
      <c r="A50" s="36" t="s">
        <v>56</v>
      </c>
      <c r="B50" s="35" t="s">
        <v>149</v>
      </c>
      <c r="C50" s="188" t="s">
        <v>150</v>
      </c>
      <c r="D50" s="188"/>
      <c r="E50" s="188"/>
      <c r="F50" s="189" t="s">
        <v>151</v>
      </c>
      <c r="G50" s="189"/>
      <c r="H50" s="189"/>
      <c r="I50" s="189"/>
    </row>
    <row r="51" spans="1:9" s="2" customFormat="1" ht="49.5" customHeight="1" x14ac:dyDescent="0.2">
      <c r="A51" s="36" t="s">
        <v>64</v>
      </c>
      <c r="B51" s="35" t="s">
        <v>152</v>
      </c>
      <c r="C51" s="188" t="s">
        <v>153</v>
      </c>
      <c r="D51" s="188"/>
      <c r="E51" s="188"/>
      <c r="F51" s="189" t="s">
        <v>154</v>
      </c>
      <c r="G51" s="189"/>
      <c r="H51" s="189"/>
      <c r="I51" s="189"/>
    </row>
    <row r="52" spans="1:9" s="2" customFormat="1" ht="45.75" customHeight="1" x14ac:dyDescent="0.2">
      <c r="A52" s="36" t="s">
        <v>71</v>
      </c>
      <c r="B52" s="35" t="s">
        <v>155</v>
      </c>
      <c r="C52" s="188" t="s">
        <v>156</v>
      </c>
      <c r="D52" s="188"/>
      <c r="E52" s="188"/>
      <c r="F52" s="189" t="s">
        <v>157</v>
      </c>
      <c r="G52" s="189"/>
      <c r="H52" s="189"/>
      <c r="I52" s="189"/>
    </row>
    <row r="53" spans="1:9" s="2" customFormat="1" ht="45.75" customHeight="1" x14ac:dyDescent="0.2">
      <c r="A53" s="36" t="s">
        <v>77</v>
      </c>
      <c r="B53" s="35" t="s">
        <v>158</v>
      </c>
      <c r="C53" s="188" t="s">
        <v>159</v>
      </c>
      <c r="D53" s="188"/>
      <c r="E53" s="188"/>
      <c r="F53" s="189" t="s">
        <v>1229</v>
      </c>
      <c r="G53" s="189"/>
      <c r="H53" s="189"/>
      <c r="I53" s="189"/>
    </row>
    <row r="54" spans="1:9" s="2" customFormat="1" ht="45.75" customHeight="1" x14ac:dyDescent="0.2">
      <c r="A54" s="36" t="s">
        <v>160</v>
      </c>
      <c r="B54" s="35" t="s">
        <v>161</v>
      </c>
      <c r="C54" s="188" t="s">
        <v>162</v>
      </c>
      <c r="D54" s="188"/>
      <c r="E54" s="188"/>
      <c r="F54" s="189" t="s">
        <v>1230</v>
      </c>
      <c r="G54" s="189"/>
      <c r="H54" s="189"/>
      <c r="I54" s="189"/>
    </row>
    <row r="55" spans="1:9" s="2" customFormat="1" ht="49.5" customHeight="1" x14ac:dyDescent="0.2">
      <c r="A55" s="36" t="s">
        <v>163</v>
      </c>
      <c r="B55" s="35" t="s">
        <v>164</v>
      </c>
      <c r="C55" s="188" t="s">
        <v>165</v>
      </c>
      <c r="D55" s="188"/>
      <c r="E55" s="188"/>
      <c r="F55" s="189" t="s">
        <v>166</v>
      </c>
      <c r="G55" s="189"/>
      <c r="H55" s="189"/>
      <c r="I55" s="189"/>
    </row>
    <row r="56" spans="1:9" s="2" customFormat="1" ht="54" customHeight="1" x14ac:dyDescent="0.2">
      <c r="A56" s="36" t="s">
        <v>167</v>
      </c>
      <c r="B56" s="35" t="s">
        <v>168</v>
      </c>
      <c r="C56" s="188" t="s">
        <v>169</v>
      </c>
      <c r="D56" s="188"/>
      <c r="E56" s="188"/>
      <c r="F56" s="189" t="s">
        <v>170</v>
      </c>
      <c r="G56" s="189"/>
      <c r="H56" s="189"/>
      <c r="I56" s="189"/>
    </row>
    <row r="58" spans="1:9" ht="19.5" customHeight="1" x14ac:dyDescent="0.2">
      <c r="A58" s="182" t="s">
        <v>171</v>
      </c>
      <c r="B58" s="182"/>
      <c r="C58" s="182"/>
      <c r="D58" s="182"/>
      <c r="E58" s="182"/>
      <c r="F58" s="182"/>
      <c r="G58" s="182"/>
      <c r="H58" s="182"/>
      <c r="I58" s="182"/>
    </row>
    <row r="59" spans="1:9" ht="25.5" customHeight="1" x14ac:dyDescent="0.2">
      <c r="A59" s="191" t="s">
        <v>172</v>
      </c>
      <c r="B59" s="191"/>
      <c r="C59" s="191"/>
      <c r="D59" s="191"/>
      <c r="E59" s="191"/>
      <c r="F59" s="191"/>
      <c r="G59" s="191"/>
      <c r="H59" s="191"/>
      <c r="I59" s="191"/>
    </row>
    <row r="60" spans="1:9" ht="18" customHeight="1" x14ac:dyDescent="0.2">
      <c r="A60" s="13" t="s">
        <v>40</v>
      </c>
      <c r="B60" s="193" t="s">
        <v>173</v>
      </c>
      <c r="C60" s="193"/>
      <c r="D60" s="193" t="s">
        <v>174</v>
      </c>
      <c r="E60" s="193"/>
      <c r="F60" s="193"/>
      <c r="G60" s="193" t="s">
        <v>175</v>
      </c>
      <c r="H60" s="193"/>
      <c r="I60" s="193"/>
    </row>
    <row r="61" spans="1:9" s="2" customFormat="1" ht="30" customHeight="1" x14ac:dyDescent="0.2">
      <c r="A61" s="36" t="s">
        <v>48</v>
      </c>
      <c r="B61" s="194" t="s">
        <v>176</v>
      </c>
      <c r="C61" s="194"/>
      <c r="D61" s="188" t="s">
        <v>177</v>
      </c>
      <c r="E61" s="188"/>
      <c r="F61" s="188"/>
      <c r="G61" s="188" t="s">
        <v>178</v>
      </c>
      <c r="H61" s="188"/>
      <c r="I61" s="188"/>
    </row>
    <row r="62" spans="1:9" s="2" customFormat="1" ht="30" customHeight="1" x14ac:dyDescent="0.2">
      <c r="A62" s="36" t="s">
        <v>56</v>
      </c>
      <c r="B62" s="194" t="s">
        <v>179</v>
      </c>
      <c r="C62" s="194"/>
      <c r="D62" s="188" t="s">
        <v>180</v>
      </c>
      <c r="E62" s="188"/>
      <c r="F62" s="188"/>
      <c r="G62" s="188" t="s">
        <v>181</v>
      </c>
      <c r="H62" s="188"/>
      <c r="I62" s="188"/>
    </row>
    <row r="63" spans="1:9" ht="39.75" customHeight="1" x14ac:dyDescent="0.2">
      <c r="A63" s="192" t="s">
        <v>182</v>
      </c>
      <c r="B63" s="192"/>
      <c r="C63" s="192"/>
      <c r="D63" s="192"/>
      <c r="E63" s="192"/>
      <c r="F63" s="192"/>
      <c r="G63" s="192"/>
      <c r="H63" s="192"/>
      <c r="I63" s="192"/>
    </row>
    <row r="65" spans="1:9" ht="19.5" customHeight="1" x14ac:dyDescent="0.2">
      <c r="A65" s="182" t="s">
        <v>183</v>
      </c>
      <c r="B65" s="182"/>
      <c r="C65" s="182"/>
      <c r="D65" s="182"/>
      <c r="E65" s="182"/>
      <c r="F65" s="182"/>
      <c r="G65" s="182"/>
      <c r="H65" s="182"/>
      <c r="I65" s="182"/>
    </row>
    <row r="66" spans="1:9" ht="18" customHeight="1" x14ac:dyDescent="0.2">
      <c r="A66" s="11" t="s">
        <v>184</v>
      </c>
      <c r="B66" s="11" t="s">
        <v>185</v>
      </c>
      <c r="C66" s="11" t="s">
        <v>186</v>
      </c>
      <c r="D66" s="11" t="s">
        <v>187</v>
      </c>
      <c r="E66" s="11" t="s">
        <v>188</v>
      </c>
      <c r="F66" s="187" t="s">
        <v>189</v>
      </c>
      <c r="G66" s="187"/>
      <c r="H66" s="187"/>
      <c r="I66" s="187"/>
    </row>
    <row r="67" spans="1:9" s="2" customFormat="1" ht="25.5" customHeight="1" x14ac:dyDescent="0.2">
      <c r="A67" s="35" t="s">
        <v>190</v>
      </c>
      <c r="B67" s="77" t="s">
        <v>191</v>
      </c>
      <c r="C67" s="20" t="s">
        <v>192</v>
      </c>
      <c r="D67" s="12" t="s">
        <v>193</v>
      </c>
      <c r="E67" s="15" t="s">
        <v>61</v>
      </c>
      <c r="F67" s="189" t="s">
        <v>194</v>
      </c>
      <c r="G67" s="189"/>
      <c r="H67" s="189"/>
      <c r="I67" s="189"/>
    </row>
    <row r="68" spans="1:9" s="2" customFormat="1" ht="25.5" customHeight="1" x14ac:dyDescent="0.2">
      <c r="A68" s="12"/>
      <c r="B68" s="77" t="s">
        <v>191</v>
      </c>
      <c r="C68" s="20" t="s">
        <v>195</v>
      </c>
      <c r="D68" s="12" t="s">
        <v>196</v>
      </c>
      <c r="E68" s="15" t="s">
        <v>197</v>
      </c>
      <c r="F68" s="189" t="s">
        <v>198</v>
      </c>
      <c r="G68" s="189"/>
      <c r="H68" s="189"/>
      <c r="I68" s="189"/>
    </row>
    <row r="69" spans="1:9" s="2" customFormat="1" ht="25.5" customHeight="1" x14ac:dyDescent="0.2">
      <c r="A69" s="12"/>
      <c r="B69" s="77" t="s">
        <v>191</v>
      </c>
      <c r="C69" s="20" t="s">
        <v>199</v>
      </c>
      <c r="D69" s="12" t="s">
        <v>200</v>
      </c>
      <c r="E69" s="15" t="s">
        <v>201</v>
      </c>
      <c r="F69" s="189" t="s">
        <v>202</v>
      </c>
      <c r="G69" s="189"/>
      <c r="H69" s="189"/>
      <c r="I69" s="189"/>
    </row>
    <row r="70" spans="1:9" s="2" customFormat="1" ht="25.5" customHeight="1" x14ac:dyDescent="0.2">
      <c r="A70" s="12"/>
      <c r="B70" s="77" t="s">
        <v>191</v>
      </c>
      <c r="C70" s="20" t="s">
        <v>203</v>
      </c>
      <c r="D70" s="12" t="s">
        <v>204</v>
      </c>
      <c r="E70" s="15" t="s">
        <v>205</v>
      </c>
      <c r="F70" s="189" t="s">
        <v>206</v>
      </c>
      <c r="G70" s="189"/>
      <c r="H70" s="189"/>
      <c r="I70" s="189"/>
    </row>
    <row r="71" spans="1:9" s="2" customFormat="1" ht="25.5" customHeight="1" x14ac:dyDescent="0.2">
      <c r="A71" s="12"/>
      <c r="B71" s="77" t="s">
        <v>191</v>
      </c>
      <c r="C71" s="20" t="s">
        <v>207</v>
      </c>
      <c r="D71" s="12" t="s">
        <v>208</v>
      </c>
      <c r="E71" s="15" t="s">
        <v>209</v>
      </c>
      <c r="F71" s="189" t="s">
        <v>210</v>
      </c>
      <c r="G71" s="189"/>
      <c r="H71" s="189"/>
      <c r="I71" s="189"/>
    </row>
    <row r="72" spans="1:9" s="2" customFormat="1" ht="25.5" customHeight="1" x14ac:dyDescent="0.2">
      <c r="A72" s="35" t="s">
        <v>211</v>
      </c>
      <c r="B72" s="77" t="s">
        <v>191</v>
      </c>
      <c r="C72" s="20" t="s">
        <v>212</v>
      </c>
      <c r="D72" s="12" t="s">
        <v>213</v>
      </c>
      <c r="E72" s="15" t="s">
        <v>214</v>
      </c>
      <c r="F72" s="189" t="s">
        <v>215</v>
      </c>
      <c r="G72" s="189"/>
      <c r="H72" s="189"/>
      <c r="I72" s="189"/>
    </row>
    <row r="73" spans="1:9" s="2" customFormat="1" ht="25.5" customHeight="1" x14ac:dyDescent="0.2">
      <c r="A73" s="12"/>
      <c r="B73" s="77" t="s">
        <v>191</v>
      </c>
      <c r="C73" s="20" t="s">
        <v>216</v>
      </c>
      <c r="D73" s="12" t="s">
        <v>217</v>
      </c>
      <c r="E73" s="15" t="s">
        <v>218</v>
      </c>
      <c r="F73" s="189" t="s">
        <v>219</v>
      </c>
      <c r="G73" s="189"/>
      <c r="H73" s="189"/>
      <c r="I73" s="189"/>
    </row>
    <row r="74" spans="1:9" s="2" customFormat="1" ht="25.5" customHeight="1" x14ac:dyDescent="0.2">
      <c r="A74" s="78" t="s">
        <v>220</v>
      </c>
      <c r="B74" s="79" t="s">
        <v>221</v>
      </c>
      <c r="C74" s="20" t="s">
        <v>222</v>
      </c>
      <c r="D74" s="12" t="s">
        <v>223</v>
      </c>
      <c r="E74" s="15" t="s">
        <v>224</v>
      </c>
      <c r="F74" s="189" t="s">
        <v>225</v>
      </c>
      <c r="G74" s="189"/>
      <c r="H74" s="189"/>
      <c r="I74" s="189"/>
    </row>
    <row r="75" spans="1:9" s="2" customFormat="1" ht="25.5" customHeight="1" x14ac:dyDescent="0.2">
      <c r="A75" s="12"/>
      <c r="B75" s="79" t="s">
        <v>221</v>
      </c>
      <c r="C75" s="20" t="s">
        <v>226</v>
      </c>
      <c r="D75" s="12" t="s">
        <v>227</v>
      </c>
      <c r="E75" s="15" t="s">
        <v>228</v>
      </c>
      <c r="F75" s="189" t="s">
        <v>229</v>
      </c>
      <c r="G75" s="189"/>
      <c r="H75" s="189"/>
      <c r="I75" s="189"/>
    </row>
    <row r="76" spans="1:9" s="2" customFormat="1" ht="25.5" customHeight="1" x14ac:dyDescent="0.2">
      <c r="A76" s="78" t="s">
        <v>230</v>
      </c>
      <c r="B76" s="79" t="s">
        <v>221</v>
      </c>
      <c r="C76" s="20" t="s">
        <v>231</v>
      </c>
      <c r="D76" s="12" t="s">
        <v>232</v>
      </c>
      <c r="E76" s="15" t="s">
        <v>233</v>
      </c>
      <c r="F76" s="189" t="s">
        <v>1231</v>
      </c>
      <c r="G76" s="189"/>
      <c r="H76" s="189"/>
      <c r="I76" s="189"/>
    </row>
    <row r="77" spans="1:9" s="2" customFormat="1" ht="25.5" customHeight="1" x14ac:dyDescent="0.2">
      <c r="A77" s="12"/>
      <c r="B77" s="79" t="s">
        <v>221</v>
      </c>
      <c r="C77" s="20" t="s">
        <v>234</v>
      </c>
      <c r="D77" s="12" t="s">
        <v>235</v>
      </c>
      <c r="E77" s="15" t="s">
        <v>236</v>
      </c>
      <c r="F77" s="189" t="s">
        <v>1232</v>
      </c>
      <c r="G77" s="189"/>
      <c r="H77" s="189"/>
      <c r="I77" s="189"/>
    </row>
    <row r="78" spans="1:9" s="2" customFormat="1" ht="25.5" customHeight="1" x14ac:dyDescent="0.2">
      <c r="A78" s="78" t="s">
        <v>237</v>
      </c>
      <c r="B78" s="79" t="s">
        <v>221</v>
      </c>
      <c r="C78" s="20" t="s">
        <v>238</v>
      </c>
      <c r="D78" s="12" t="s">
        <v>239</v>
      </c>
      <c r="E78" s="15" t="s">
        <v>240</v>
      </c>
      <c r="F78" s="189" t="s">
        <v>1233</v>
      </c>
      <c r="G78" s="189"/>
      <c r="H78" s="189"/>
      <c r="I78" s="189"/>
    </row>
    <row r="79" spans="1:9" s="2" customFormat="1" ht="25.5" customHeight="1" x14ac:dyDescent="0.2">
      <c r="A79" s="12"/>
      <c r="B79" s="79" t="s">
        <v>221</v>
      </c>
      <c r="C79" s="20" t="s">
        <v>241</v>
      </c>
      <c r="D79" s="12" t="s">
        <v>242</v>
      </c>
      <c r="E79" s="15" t="s">
        <v>243</v>
      </c>
      <c r="F79" s="189" t="s">
        <v>244</v>
      </c>
      <c r="G79" s="189"/>
      <c r="H79" s="189"/>
      <c r="I79" s="189"/>
    </row>
  </sheetData>
  <mergeCells count="119">
    <mergeCell ref="C29:D29"/>
    <mergeCell ref="E29:I29"/>
    <mergeCell ref="E35:I35"/>
    <mergeCell ref="E36:I36"/>
    <mergeCell ref="E37:I37"/>
    <mergeCell ref="C33:D33"/>
    <mergeCell ref="E33:I33"/>
    <mergeCell ref="E34:I34"/>
    <mergeCell ref="C31:D31"/>
    <mergeCell ref="E31:I31"/>
    <mergeCell ref="C32:D32"/>
    <mergeCell ref="E32:I32"/>
    <mergeCell ref="A19:B29"/>
    <mergeCell ref="C19:I19"/>
    <mergeCell ref="C23:D23"/>
    <mergeCell ref="E23:I23"/>
    <mergeCell ref="C24:D24"/>
    <mergeCell ref="E24:I24"/>
    <mergeCell ref="C25:D25"/>
    <mergeCell ref="E25:I25"/>
    <mergeCell ref="C21:D21"/>
    <mergeCell ref="E21:I21"/>
    <mergeCell ref="C22:D22"/>
    <mergeCell ref="E22:I22"/>
    <mergeCell ref="C20:D20"/>
    <mergeCell ref="E20:I20"/>
    <mergeCell ref="C28:D28"/>
    <mergeCell ref="E28:I28"/>
    <mergeCell ref="A65:I65"/>
    <mergeCell ref="F73:I73"/>
    <mergeCell ref="F74:I74"/>
    <mergeCell ref="F75:I75"/>
    <mergeCell ref="F76:I76"/>
    <mergeCell ref="F68:I68"/>
    <mergeCell ref="F69:I69"/>
    <mergeCell ref="F70:I70"/>
    <mergeCell ref="F71:I71"/>
    <mergeCell ref="F72:I72"/>
    <mergeCell ref="F77:I77"/>
    <mergeCell ref="F78:I78"/>
    <mergeCell ref="F79:I79"/>
    <mergeCell ref="F66:I66"/>
    <mergeCell ref="F67:I67"/>
    <mergeCell ref="C56:E56"/>
    <mergeCell ref="F56:I56"/>
    <mergeCell ref="C50:E50"/>
    <mergeCell ref="F50:I50"/>
    <mergeCell ref="C51:E51"/>
    <mergeCell ref="F51:I51"/>
    <mergeCell ref="C52:E52"/>
    <mergeCell ref="F52:I52"/>
    <mergeCell ref="C53:E53"/>
    <mergeCell ref="F53:I53"/>
    <mergeCell ref="C54:E54"/>
    <mergeCell ref="F54:I54"/>
    <mergeCell ref="C55:E55"/>
    <mergeCell ref="F55:I55"/>
    <mergeCell ref="A47:I47"/>
    <mergeCell ref="C48:E48"/>
    <mergeCell ref="F48:I48"/>
    <mergeCell ref="C49:E49"/>
    <mergeCell ref="F49:I49"/>
    <mergeCell ref="A45:B45"/>
    <mergeCell ref="C45:I45"/>
    <mergeCell ref="C30:I30"/>
    <mergeCell ref="A43:B43"/>
    <mergeCell ref="C43:I43"/>
    <mergeCell ref="E38:I38"/>
    <mergeCell ref="A42:I42"/>
    <mergeCell ref="A44:B44"/>
    <mergeCell ref="C44:I44"/>
    <mergeCell ref="E39:I39"/>
    <mergeCell ref="C40:D40"/>
    <mergeCell ref="E40:I40"/>
    <mergeCell ref="A30:B40"/>
    <mergeCell ref="A58:I58"/>
    <mergeCell ref="A59:I59"/>
    <mergeCell ref="A63:I63"/>
    <mergeCell ref="B60:C60"/>
    <mergeCell ref="D60:F60"/>
    <mergeCell ref="G60:I60"/>
    <mergeCell ref="B61:C61"/>
    <mergeCell ref="D61:F61"/>
    <mergeCell ref="G61:I61"/>
    <mergeCell ref="B62:C62"/>
    <mergeCell ref="D62:F62"/>
    <mergeCell ref="G62:I62"/>
    <mergeCell ref="C37:D37"/>
    <mergeCell ref="C38:D38"/>
    <mergeCell ref="C39:D39"/>
    <mergeCell ref="A1:I1"/>
    <mergeCell ref="A2:I2"/>
    <mergeCell ref="H5:I5"/>
    <mergeCell ref="H6:I6"/>
    <mergeCell ref="H9:I9"/>
    <mergeCell ref="H7:I7"/>
    <mergeCell ref="H12:I12"/>
    <mergeCell ref="H8:I8"/>
    <mergeCell ref="C17:D17"/>
    <mergeCell ref="E17:I17"/>
    <mergeCell ref="A18:B18"/>
    <mergeCell ref="C18:D18"/>
    <mergeCell ref="E18:I18"/>
    <mergeCell ref="A4:I4"/>
    <mergeCell ref="A17:B17"/>
    <mergeCell ref="C34:D34"/>
    <mergeCell ref="C35:D35"/>
    <mergeCell ref="C36:D36"/>
    <mergeCell ref="H10:I10"/>
    <mergeCell ref="A15:I15"/>
    <mergeCell ref="A16:B16"/>
    <mergeCell ref="C16:D16"/>
    <mergeCell ref="E16:I16"/>
    <mergeCell ref="H13:I13"/>
    <mergeCell ref="H11:I11"/>
    <mergeCell ref="C26:D26"/>
    <mergeCell ref="E26:I26"/>
    <mergeCell ref="C27:D27"/>
    <mergeCell ref="E27:I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59996337778862885"/>
  </sheetPr>
  <dimension ref="A1:D45"/>
  <sheetViews>
    <sheetView showGridLines="0" topLeftCell="A32" workbookViewId="0">
      <selection sqref="A1:D1"/>
    </sheetView>
  </sheetViews>
  <sheetFormatPr baseColWidth="10" defaultColWidth="8.6640625" defaultRowHeight="15" x14ac:dyDescent="0.2"/>
  <cols>
    <col min="1" max="1" width="8" style="23" customWidth="1"/>
    <col min="2" max="2" width="30" style="23" customWidth="1"/>
    <col min="3" max="3" width="18" style="23" customWidth="1"/>
    <col min="4" max="4" width="44" style="23" customWidth="1"/>
    <col min="5" max="16384" width="8.6640625" style="23"/>
  </cols>
  <sheetData>
    <row r="1" spans="1:4" ht="25.5" customHeight="1" x14ac:dyDescent="0.2">
      <c r="A1" s="205" t="s">
        <v>252</v>
      </c>
      <c r="B1" s="205"/>
      <c r="C1" s="205"/>
      <c r="D1" s="205"/>
    </row>
    <row r="2" spans="1:4" ht="24" customHeight="1" x14ac:dyDescent="0.2">
      <c r="A2" s="206" t="s">
        <v>253</v>
      </c>
      <c r="B2" s="206"/>
      <c r="C2" s="206"/>
      <c r="D2" s="206"/>
    </row>
    <row r="4" spans="1:4" ht="19.5" customHeight="1" x14ac:dyDescent="0.2">
      <c r="A4" s="204" t="s">
        <v>254</v>
      </c>
      <c r="B4" s="204"/>
      <c r="C4" s="204"/>
      <c r="D4" s="204"/>
    </row>
    <row r="5" spans="1:4" ht="85.5" customHeight="1" x14ac:dyDescent="0.2">
      <c r="A5" s="207" t="s">
        <v>255</v>
      </c>
      <c r="B5" s="207"/>
      <c r="C5" s="207"/>
      <c r="D5" s="207"/>
    </row>
    <row r="7" spans="1:4" ht="19.5" customHeight="1" x14ac:dyDescent="0.2">
      <c r="A7" s="204" t="s">
        <v>256</v>
      </c>
      <c r="B7" s="204"/>
      <c r="C7" s="204"/>
      <c r="D7" s="204"/>
    </row>
    <row r="8" spans="1:4" x14ac:dyDescent="0.2">
      <c r="A8" s="25" t="s">
        <v>257</v>
      </c>
      <c r="B8" s="24" t="s">
        <v>258</v>
      </c>
      <c r="C8" s="25" t="s">
        <v>259</v>
      </c>
      <c r="D8" s="25" t="s">
        <v>260</v>
      </c>
    </row>
    <row r="9" spans="1:4" ht="15" customHeight="1" x14ac:dyDescent="0.2">
      <c r="A9" s="43">
        <v>1</v>
      </c>
      <c r="B9" s="44" t="s">
        <v>261</v>
      </c>
      <c r="C9" s="45">
        <v>2136.9677859600001</v>
      </c>
      <c r="D9" s="46" t="s">
        <v>262</v>
      </c>
    </row>
    <row r="10" spans="1:4" ht="15" customHeight="1" x14ac:dyDescent="0.2">
      <c r="A10" s="43">
        <v>2</v>
      </c>
      <c r="B10" s="44" t="s">
        <v>249</v>
      </c>
      <c r="C10" s="45">
        <v>1511.5763423799999</v>
      </c>
      <c r="D10" s="46" t="s">
        <v>262</v>
      </c>
    </row>
    <row r="11" spans="1:4" ht="15" customHeight="1" x14ac:dyDescent="0.2">
      <c r="A11" s="43">
        <v>3</v>
      </c>
      <c r="B11" s="44" t="s">
        <v>110</v>
      </c>
      <c r="C11" s="45">
        <v>1013.24807409</v>
      </c>
      <c r="D11" s="46" t="s">
        <v>262</v>
      </c>
    </row>
    <row r="12" spans="1:4" ht="15" customHeight="1" x14ac:dyDescent="0.2">
      <c r="A12" s="43">
        <v>4</v>
      </c>
      <c r="B12" s="44" t="s">
        <v>111</v>
      </c>
      <c r="C12" s="45">
        <v>957.50052182000002</v>
      </c>
      <c r="D12" s="46" t="s">
        <v>262</v>
      </c>
    </row>
    <row r="13" spans="1:4" ht="15" customHeight="1" x14ac:dyDescent="0.2">
      <c r="A13" s="43">
        <v>5</v>
      </c>
      <c r="B13" s="44" t="s">
        <v>113</v>
      </c>
      <c r="C13" s="45">
        <v>479.65060102000001</v>
      </c>
      <c r="D13" s="46" t="s">
        <v>262</v>
      </c>
    </row>
    <row r="14" spans="1:4" ht="15" customHeight="1" x14ac:dyDescent="0.2">
      <c r="A14" s="47">
        <v>6</v>
      </c>
      <c r="B14" s="26" t="s">
        <v>263</v>
      </c>
      <c r="C14" s="27">
        <v>449.41833286000002</v>
      </c>
      <c r="D14" s="48" t="s">
        <v>61</v>
      </c>
    </row>
    <row r="15" spans="1:4" ht="15" customHeight="1" x14ac:dyDescent="0.2">
      <c r="A15" s="47">
        <v>7</v>
      </c>
      <c r="B15" s="26" t="s">
        <v>264</v>
      </c>
      <c r="C15" s="27">
        <v>410.58185508000003</v>
      </c>
      <c r="D15" s="48" t="s">
        <v>61</v>
      </c>
    </row>
    <row r="16" spans="1:4" ht="15" customHeight="1" x14ac:dyDescent="0.2">
      <c r="A16" s="43">
        <v>8</v>
      </c>
      <c r="B16" s="44" t="s">
        <v>265</v>
      </c>
      <c r="C16" s="45">
        <v>389.00573401999998</v>
      </c>
      <c r="D16" s="46" t="s">
        <v>262</v>
      </c>
    </row>
    <row r="17" spans="1:4" ht="15" customHeight="1" x14ac:dyDescent="0.2">
      <c r="A17" s="43">
        <v>9</v>
      </c>
      <c r="B17" s="44" t="s">
        <v>266</v>
      </c>
      <c r="C17" s="45">
        <v>343.46748535</v>
      </c>
      <c r="D17" s="46" t="s">
        <v>262</v>
      </c>
    </row>
    <row r="18" spans="1:4" ht="15" customHeight="1" x14ac:dyDescent="0.2">
      <c r="A18" s="47">
        <v>10</v>
      </c>
      <c r="B18" s="26" t="s">
        <v>267</v>
      </c>
      <c r="C18" s="27">
        <v>292.28362598000001</v>
      </c>
      <c r="D18" s="48" t="s">
        <v>61</v>
      </c>
    </row>
    <row r="19" spans="1:4" ht="15" customHeight="1" x14ac:dyDescent="0.2">
      <c r="A19" s="47">
        <v>11</v>
      </c>
      <c r="B19" s="26" t="s">
        <v>250</v>
      </c>
      <c r="C19" s="27">
        <v>246.65767930000001</v>
      </c>
      <c r="D19" s="48" t="s">
        <v>61</v>
      </c>
    </row>
    <row r="20" spans="1:4" ht="15" customHeight="1" x14ac:dyDescent="0.2">
      <c r="A20" s="47">
        <v>12</v>
      </c>
      <c r="B20" s="26" t="s">
        <v>268</v>
      </c>
      <c r="C20" s="27">
        <v>168.37600528999999</v>
      </c>
      <c r="D20" s="48" t="s">
        <v>61</v>
      </c>
    </row>
    <row r="21" spans="1:4" ht="15" customHeight="1" x14ac:dyDescent="0.2">
      <c r="A21" s="47">
        <v>13</v>
      </c>
      <c r="B21" s="26" t="s">
        <v>269</v>
      </c>
      <c r="C21" s="27">
        <v>155.77963640999999</v>
      </c>
      <c r="D21" s="48" t="s">
        <v>61</v>
      </c>
    </row>
    <row r="22" spans="1:4" ht="15" customHeight="1" x14ac:dyDescent="0.2">
      <c r="A22" s="47">
        <v>14</v>
      </c>
      <c r="B22" s="26" t="s">
        <v>270</v>
      </c>
      <c r="C22" s="27">
        <v>155.29328275</v>
      </c>
      <c r="D22" s="48" t="s">
        <v>61</v>
      </c>
    </row>
    <row r="23" spans="1:4" ht="15" customHeight="1" x14ac:dyDescent="0.2">
      <c r="A23" s="43">
        <v>15</v>
      </c>
      <c r="B23" s="44" t="s">
        <v>115</v>
      </c>
      <c r="C23" s="45">
        <v>154.63314733999999</v>
      </c>
      <c r="D23" s="46" t="s">
        <v>262</v>
      </c>
    </row>
    <row r="24" spans="1:4" ht="15" customHeight="1" x14ac:dyDescent="0.2">
      <c r="A24" s="47">
        <v>16</v>
      </c>
      <c r="B24" s="26" t="s">
        <v>271</v>
      </c>
      <c r="C24" s="27">
        <v>153.96805488000001</v>
      </c>
      <c r="D24" s="48" t="s">
        <v>61</v>
      </c>
    </row>
    <row r="25" spans="1:4" ht="15" customHeight="1" x14ac:dyDescent="0.2">
      <c r="A25" s="47">
        <v>17</v>
      </c>
      <c r="B25" s="26" t="s">
        <v>248</v>
      </c>
      <c r="C25" s="27">
        <v>148.59347392000001</v>
      </c>
      <c r="D25" s="48" t="s">
        <v>61</v>
      </c>
    </row>
    <row r="26" spans="1:4" ht="15" customHeight="1" x14ac:dyDescent="0.2">
      <c r="A26" s="47">
        <v>18</v>
      </c>
      <c r="B26" s="26" t="s">
        <v>272</v>
      </c>
      <c r="C26" s="27">
        <v>146.70592232999999</v>
      </c>
      <c r="D26" s="48" t="s">
        <v>61</v>
      </c>
    </row>
    <row r="27" spans="1:4" ht="27.75" customHeight="1" x14ac:dyDescent="0.2">
      <c r="A27" s="208" t="s">
        <v>273</v>
      </c>
      <c r="B27" s="208"/>
      <c r="C27" s="208"/>
      <c r="D27" s="208"/>
    </row>
    <row r="29" spans="1:4" ht="19.5" customHeight="1" x14ac:dyDescent="0.2">
      <c r="A29" s="204" t="s">
        <v>274</v>
      </c>
      <c r="B29" s="204"/>
      <c r="C29" s="204"/>
      <c r="D29" s="204"/>
    </row>
    <row r="30" spans="1:4" ht="27.75" customHeight="1" x14ac:dyDescent="0.2">
      <c r="A30" s="49" t="s">
        <v>275</v>
      </c>
      <c r="B30" s="50" t="s">
        <v>276</v>
      </c>
      <c r="C30" s="209" t="s">
        <v>277</v>
      </c>
      <c r="D30" s="209"/>
    </row>
    <row r="31" spans="1:4" ht="27.75" customHeight="1" x14ac:dyDescent="0.2">
      <c r="A31" s="49" t="s">
        <v>278</v>
      </c>
      <c r="B31" s="50" t="s">
        <v>279</v>
      </c>
      <c r="C31" s="209" t="s">
        <v>280</v>
      </c>
      <c r="D31" s="209"/>
    </row>
    <row r="32" spans="1:4" ht="27.75" customHeight="1" x14ac:dyDescent="0.2">
      <c r="A32" s="49" t="s">
        <v>281</v>
      </c>
      <c r="B32" s="50" t="s">
        <v>112</v>
      </c>
      <c r="C32" s="209" t="s">
        <v>282</v>
      </c>
      <c r="D32" s="209"/>
    </row>
    <row r="33" spans="1:4" ht="27.75" customHeight="1" x14ac:dyDescent="0.2">
      <c r="A33" s="49" t="s">
        <v>283</v>
      </c>
      <c r="B33" s="50" t="s">
        <v>119</v>
      </c>
      <c r="C33" s="209" t="s">
        <v>284</v>
      </c>
      <c r="D33" s="209"/>
    </row>
    <row r="35" spans="1:4" ht="19.5" customHeight="1" x14ac:dyDescent="0.2">
      <c r="A35" s="204" t="s">
        <v>285</v>
      </c>
      <c r="B35" s="204"/>
      <c r="C35" s="204"/>
      <c r="D35" s="204"/>
    </row>
    <row r="36" spans="1:4" ht="18" customHeight="1" x14ac:dyDescent="0.2">
      <c r="A36" s="211" t="s">
        <v>286</v>
      </c>
      <c r="B36" s="211"/>
      <c r="C36" s="211"/>
      <c r="D36" s="211"/>
    </row>
    <row r="37" spans="1:4" ht="69.75" customHeight="1" x14ac:dyDescent="0.2">
      <c r="A37" s="207" t="s">
        <v>287</v>
      </c>
      <c r="B37" s="207"/>
      <c r="C37" s="207"/>
      <c r="D37" s="207"/>
    </row>
    <row r="38" spans="1:4" ht="18" customHeight="1" x14ac:dyDescent="0.2">
      <c r="A38" s="212" t="s">
        <v>288</v>
      </c>
      <c r="B38" s="212"/>
      <c r="C38" s="212"/>
      <c r="D38" s="212"/>
    </row>
    <row r="39" spans="1:4" ht="69.75" customHeight="1" x14ac:dyDescent="0.2">
      <c r="A39" s="207" t="s">
        <v>289</v>
      </c>
      <c r="B39" s="207"/>
      <c r="C39" s="207"/>
      <c r="D39" s="207"/>
    </row>
    <row r="40" spans="1:4" ht="18" customHeight="1" x14ac:dyDescent="0.2">
      <c r="A40" s="211" t="s">
        <v>290</v>
      </c>
      <c r="B40" s="211"/>
      <c r="C40" s="211"/>
      <c r="D40" s="211"/>
    </row>
    <row r="41" spans="1:4" ht="42" customHeight="1" x14ac:dyDescent="0.2">
      <c r="A41" s="207" t="s">
        <v>291</v>
      </c>
      <c r="B41" s="207"/>
      <c r="C41" s="207"/>
      <c r="D41" s="207"/>
    </row>
    <row r="42" spans="1:4" ht="18" customHeight="1" x14ac:dyDescent="0.2">
      <c r="A42" s="210" t="s">
        <v>292</v>
      </c>
      <c r="B42" s="210"/>
      <c r="C42" s="210"/>
      <c r="D42" s="210"/>
    </row>
    <row r="43" spans="1:4" ht="27.75" customHeight="1" x14ac:dyDescent="0.2">
      <c r="A43" s="207" t="s">
        <v>293</v>
      </c>
      <c r="B43" s="207"/>
      <c r="C43" s="207"/>
      <c r="D43" s="207"/>
    </row>
    <row r="45" spans="1:4" ht="43.5" customHeight="1" x14ac:dyDescent="0.2">
      <c r="A45" s="210" t="s">
        <v>294</v>
      </c>
      <c r="B45" s="210"/>
      <c r="C45" s="210"/>
      <c r="D45" s="210"/>
    </row>
  </sheetData>
  <mergeCells count="21">
    <mergeCell ref="A42:D42"/>
    <mergeCell ref="A43:D43"/>
    <mergeCell ref="A45:D45"/>
    <mergeCell ref="A36:D36"/>
    <mergeCell ref="A37:D37"/>
    <mergeCell ref="A38:D38"/>
    <mergeCell ref="A39:D39"/>
    <mergeCell ref="A40:D40"/>
    <mergeCell ref="A41:D41"/>
    <mergeCell ref="A35:D35"/>
    <mergeCell ref="A1:D1"/>
    <mergeCell ref="A2:D2"/>
    <mergeCell ref="A4:D4"/>
    <mergeCell ref="A5:D5"/>
    <mergeCell ref="A7:D7"/>
    <mergeCell ref="A27:D27"/>
    <mergeCell ref="A29:D29"/>
    <mergeCell ref="C30:D30"/>
    <mergeCell ref="C31:D31"/>
    <mergeCell ref="C32:D32"/>
    <mergeCell ref="C33:D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59996337778862885"/>
  </sheetPr>
  <dimension ref="A1:T38"/>
  <sheetViews>
    <sheetView showGridLines="0" workbookViewId="0">
      <selection sqref="A1:O1"/>
    </sheetView>
  </sheetViews>
  <sheetFormatPr baseColWidth="10" defaultColWidth="8.6640625" defaultRowHeight="15" x14ac:dyDescent="0.2"/>
  <cols>
    <col min="1" max="1" width="20.6640625" style="23" customWidth="1"/>
    <col min="2" max="2" width="9.33203125" style="23" customWidth="1"/>
    <col min="3" max="3" width="5.1640625" style="23" customWidth="1"/>
    <col min="4" max="4" width="7.33203125" style="23" customWidth="1"/>
    <col min="5" max="5" width="11" style="23" customWidth="1"/>
    <col min="6" max="6" width="7.1640625" style="23" customWidth="1"/>
    <col min="7" max="7" width="9.5" style="23" customWidth="1"/>
    <col min="8" max="8" width="7.1640625" style="23" customWidth="1"/>
    <col min="9" max="9" width="7.83203125" style="23" customWidth="1"/>
    <col min="10" max="10" width="9.83203125" style="23" customWidth="1"/>
    <col min="11" max="12" width="6.83203125" style="23" customWidth="1"/>
    <col min="13" max="13" width="14.83203125" style="23" customWidth="1"/>
    <col min="14" max="14" width="13.33203125" style="23" customWidth="1"/>
    <col min="15" max="15" width="41.5" style="23" customWidth="1"/>
    <col min="16" max="16" width="8.5" style="23" customWidth="1"/>
    <col min="17" max="17" width="26.5" style="23" customWidth="1"/>
    <col min="18" max="16384" width="8.6640625" style="23"/>
  </cols>
  <sheetData>
    <row r="1" spans="1:20" ht="17" x14ac:dyDescent="0.2">
      <c r="A1" s="205" t="s">
        <v>295</v>
      </c>
      <c r="B1" s="205"/>
      <c r="C1" s="205"/>
      <c r="D1" s="205"/>
      <c r="E1" s="205"/>
      <c r="F1" s="205"/>
      <c r="G1" s="205"/>
      <c r="H1" s="205"/>
      <c r="I1" s="205"/>
      <c r="J1" s="205"/>
      <c r="K1" s="205"/>
      <c r="L1" s="205"/>
      <c r="M1" s="205"/>
      <c r="N1" s="205"/>
      <c r="O1" s="205"/>
    </row>
    <row r="3" spans="1:20" x14ac:dyDescent="0.2">
      <c r="S3"/>
    </row>
    <row r="4" spans="1:20" ht="42" x14ac:dyDescent="0.2">
      <c r="A4" s="24" t="s">
        <v>186</v>
      </c>
      <c r="B4" s="24" t="s">
        <v>296</v>
      </c>
      <c r="C4" s="24" t="s">
        <v>297</v>
      </c>
      <c r="D4" s="24" t="s">
        <v>298</v>
      </c>
      <c r="E4" s="24" t="s">
        <v>299</v>
      </c>
      <c r="F4" s="24" t="s">
        <v>300</v>
      </c>
      <c r="G4" s="24" t="s">
        <v>301</v>
      </c>
      <c r="H4" s="24" t="s">
        <v>302</v>
      </c>
      <c r="I4" s="24" t="s">
        <v>303</v>
      </c>
      <c r="J4" s="24" t="s">
        <v>304</v>
      </c>
      <c r="K4" s="24" t="s">
        <v>305</v>
      </c>
      <c r="L4" s="24" t="s">
        <v>306</v>
      </c>
      <c r="M4" s="24" t="s">
        <v>307</v>
      </c>
      <c r="N4" s="24" t="s">
        <v>308</v>
      </c>
      <c r="O4" s="24" t="s">
        <v>309</v>
      </c>
      <c r="P4" s="24" t="s">
        <v>310</v>
      </c>
      <c r="Q4" s="24" t="s">
        <v>187</v>
      </c>
      <c r="T4"/>
    </row>
    <row r="5" spans="1:20" x14ac:dyDescent="0.2">
      <c r="A5" s="59" t="s">
        <v>311</v>
      </c>
      <c r="B5" s="26" t="s">
        <v>312</v>
      </c>
      <c r="C5" s="26" t="s">
        <v>313</v>
      </c>
      <c r="D5" s="26">
        <v>25</v>
      </c>
      <c r="E5" s="60">
        <v>28438</v>
      </c>
      <c r="F5" s="61">
        <v>100</v>
      </c>
      <c r="G5" s="60"/>
      <c r="H5" s="61"/>
      <c r="I5" s="26">
        <v>0</v>
      </c>
      <c r="J5" s="26">
        <v>0</v>
      </c>
      <c r="K5" s="26">
        <v>0</v>
      </c>
      <c r="L5" s="26">
        <v>0</v>
      </c>
      <c r="M5" s="26">
        <v>100</v>
      </c>
      <c r="N5" s="26" t="s">
        <v>314</v>
      </c>
      <c r="O5" s="26" t="s">
        <v>315</v>
      </c>
      <c r="P5" s="26" t="s">
        <v>316</v>
      </c>
      <c r="Q5" s="26" t="s">
        <v>317</v>
      </c>
      <c r="T5"/>
    </row>
    <row r="6" spans="1:20" x14ac:dyDescent="0.2">
      <c r="A6" s="59" t="s">
        <v>318</v>
      </c>
      <c r="B6" s="26" t="s">
        <v>312</v>
      </c>
      <c r="C6" s="26" t="s">
        <v>319</v>
      </c>
      <c r="D6" s="26">
        <v>195</v>
      </c>
      <c r="E6" s="60">
        <v>28438</v>
      </c>
      <c r="F6" s="61">
        <v>100</v>
      </c>
      <c r="G6" s="60"/>
      <c r="H6" s="61"/>
      <c r="I6" s="26">
        <v>0</v>
      </c>
      <c r="J6" s="26">
        <v>0</v>
      </c>
      <c r="K6" s="26">
        <v>0</v>
      </c>
      <c r="L6" s="26">
        <v>0</v>
      </c>
      <c r="M6" s="26">
        <v>100</v>
      </c>
      <c r="N6" s="26" t="s">
        <v>320</v>
      </c>
      <c r="O6" s="26" t="s">
        <v>321</v>
      </c>
      <c r="P6" s="26" t="s">
        <v>197</v>
      </c>
      <c r="Q6" s="26" t="s">
        <v>322</v>
      </c>
      <c r="T6"/>
    </row>
    <row r="7" spans="1:20" x14ac:dyDescent="0.2">
      <c r="A7" s="59" t="s">
        <v>323</v>
      </c>
      <c r="B7" s="26" t="s">
        <v>251</v>
      </c>
      <c r="C7" s="26" t="s">
        <v>319</v>
      </c>
      <c r="D7" s="26">
        <v>5</v>
      </c>
      <c r="E7" s="60">
        <v>28438</v>
      </c>
      <c r="F7" s="61">
        <v>100</v>
      </c>
      <c r="G7" s="60"/>
      <c r="H7" s="61"/>
      <c r="I7" s="26">
        <v>0</v>
      </c>
      <c r="J7" s="26">
        <v>0</v>
      </c>
      <c r="K7" s="26">
        <v>0</v>
      </c>
      <c r="L7" s="26">
        <v>0</v>
      </c>
      <c r="M7" s="26">
        <v>100</v>
      </c>
      <c r="N7" s="26" t="s">
        <v>324</v>
      </c>
      <c r="O7" s="26" t="s">
        <v>325</v>
      </c>
      <c r="P7" s="26" t="s">
        <v>197</v>
      </c>
      <c r="Q7" s="26" t="s">
        <v>326</v>
      </c>
      <c r="T7"/>
    </row>
    <row r="8" spans="1:20" x14ac:dyDescent="0.2">
      <c r="A8" s="59" t="s">
        <v>327</v>
      </c>
      <c r="B8" s="26" t="s">
        <v>251</v>
      </c>
      <c r="C8" s="26" t="s">
        <v>319</v>
      </c>
      <c r="D8" s="26">
        <v>22</v>
      </c>
      <c r="E8" s="60">
        <v>28438</v>
      </c>
      <c r="F8" s="61">
        <v>100</v>
      </c>
      <c r="G8" s="60"/>
      <c r="H8" s="61"/>
      <c r="I8" s="26">
        <v>0</v>
      </c>
      <c r="J8" s="26">
        <v>0</v>
      </c>
      <c r="K8" s="26">
        <v>0</v>
      </c>
      <c r="L8" s="26">
        <v>0</v>
      </c>
      <c r="M8" s="26">
        <v>100</v>
      </c>
      <c r="N8" s="26" t="s">
        <v>328</v>
      </c>
      <c r="O8" s="26" t="s">
        <v>325</v>
      </c>
      <c r="P8" s="26" t="s">
        <v>197</v>
      </c>
      <c r="Q8" s="26" t="s">
        <v>329</v>
      </c>
      <c r="T8"/>
    </row>
    <row r="9" spans="1:20" x14ac:dyDescent="0.2">
      <c r="A9" s="59" t="s">
        <v>330</v>
      </c>
      <c r="B9" s="26" t="s">
        <v>312</v>
      </c>
      <c r="C9" s="26" t="s">
        <v>319</v>
      </c>
      <c r="D9" s="26">
        <v>10</v>
      </c>
      <c r="E9" s="60">
        <v>28438</v>
      </c>
      <c r="F9" s="61">
        <v>100</v>
      </c>
      <c r="G9" s="60"/>
      <c r="H9" s="61"/>
      <c r="I9" s="26">
        <v>0</v>
      </c>
      <c r="J9" s="26">
        <v>0</v>
      </c>
      <c r="K9" s="26">
        <v>0</v>
      </c>
      <c r="L9" s="26">
        <v>0</v>
      </c>
      <c r="M9" s="26">
        <v>100</v>
      </c>
      <c r="N9" s="26" t="s">
        <v>331</v>
      </c>
      <c r="O9" s="26" t="s">
        <v>332</v>
      </c>
      <c r="P9" s="26" t="s">
        <v>197</v>
      </c>
      <c r="Q9" s="26" t="s">
        <v>333</v>
      </c>
      <c r="T9"/>
    </row>
    <row r="10" spans="1:20" x14ac:dyDescent="0.2">
      <c r="A10" s="59" t="s">
        <v>334</v>
      </c>
      <c r="B10" s="26" t="s">
        <v>335</v>
      </c>
      <c r="C10" s="26" t="s">
        <v>319</v>
      </c>
      <c r="D10" s="26">
        <v>10</v>
      </c>
      <c r="E10" s="60">
        <v>28438</v>
      </c>
      <c r="F10" s="61">
        <v>100</v>
      </c>
      <c r="G10" s="60"/>
      <c r="H10" s="61"/>
      <c r="I10" s="26">
        <v>0</v>
      </c>
      <c r="J10" s="26">
        <v>0</v>
      </c>
      <c r="K10" s="26">
        <v>0</v>
      </c>
      <c r="L10" s="26">
        <v>0</v>
      </c>
      <c r="M10" s="26">
        <v>100</v>
      </c>
      <c r="N10" s="26" t="s">
        <v>336</v>
      </c>
      <c r="O10" s="26" t="s">
        <v>337</v>
      </c>
      <c r="P10" s="26" t="s">
        <v>197</v>
      </c>
      <c r="Q10" s="26" t="s">
        <v>338</v>
      </c>
      <c r="T10"/>
    </row>
    <row r="11" spans="1:20" x14ac:dyDescent="0.2">
      <c r="A11" s="59" t="s">
        <v>339</v>
      </c>
      <c r="B11" s="26" t="s">
        <v>251</v>
      </c>
      <c r="C11" s="26" t="s">
        <v>319</v>
      </c>
      <c r="D11" s="26">
        <v>4</v>
      </c>
      <c r="E11" s="60">
        <v>28438</v>
      </c>
      <c r="F11" s="61">
        <v>100</v>
      </c>
      <c r="G11" s="60"/>
      <c r="H11" s="61"/>
      <c r="I11" s="26">
        <v>0</v>
      </c>
      <c r="J11" s="26">
        <v>0</v>
      </c>
      <c r="K11" s="26">
        <v>0</v>
      </c>
      <c r="L11" s="26">
        <v>0</v>
      </c>
      <c r="M11" s="26">
        <v>100</v>
      </c>
      <c r="N11" s="26" t="s">
        <v>340</v>
      </c>
      <c r="O11" s="26" t="s">
        <v>341</v>
      </c>
      <c r="P11" s="26" t="s">
        <v>197</v>
      </c>
      <c r="Q11" s="26" t="s">
        <v>342</v>
      </c>
      <c r="T11"/>
    </row>
    <row r="12" spans="1:20" x14ac:dyDescent="0.2">
      <c r="A12" s="59" t="s">
        <v>343</v>
      </c>
      <c r="B12" s="26" t="s">
        <v>251</v>
      </c>
      <c r="C12" s="26" t="s">
        <v>319</v>
      </c>
      <c r="D12" s="26">
        <v>7</v>
      </c>
      <c r="E12" s="60">
        <v>28438</v>
      </c>
      <c r="F12" s="61">
        <v>100</v>
      </c>
      <c r="G12" s="60"/>
      <c r="H12" s="61"/>
      <c r="I12" s="26">
        <v>0</v>
      </c>
      <c r="J12" s="26">
        <v>0</v>
      </c>
      <c r="K12" s="26">
        <v>0</v>
      </c>
      <c r="L12" s="26">
        <v>0</v>
      </c>
      <c r="M12" s="26">
        <v>100</v>
      </c>
      <c r="N12" s="26" t="s">
        <v>324</v>
      </c>
      <c r="O12" s="26" t="s">
        <v>344</v>
      </c>
      <c r="P12" s="26" t="s">
        <v>197</v>
      </c>
      <c r="Q12" s="26" t="s">
        <v>345</v>
      </c>
    </row>
    <row r="13" spans="1:20" x14ac:dyDescent="0.2">
      <c r="A13" s="59" t="s">
        <v>207</v>
      </c>
      <c r="B13" s="26" t="s">
        <v>335</v>
      </c>
      <c r="C13" s="26" t="s">
        <v>319</v>
      </c>
      <c r="D13" s="26">
        <v>5</v>
      </c>
      <c r="E13" s="60">
        <v>28438</v>
      </c>
      <c r="F13" s="61">
        <v>100</v>
      </c>
      <c r="G13" s="60"/>
      <c r="H13" s="61"/>
      <c r="I13" s="26">
        <v>0</v>
      </c>
      <c r="J13" s="26">
        <v>0</v>
      </c>
      <c r="K13" s="26">
        <v>0</v>
      </c>
      <c r="L13" s="26">
        <v>0</v>
      </c>
      <c r="M13" s="26">
        <v>100</v>
      </c>
      <c r="N13" s="26" t="s">
        <v>346</v>
      </c>
      <c r="O13" s="26" t="s">
        <v>347</v>
      </c>
      <c r="P13" s="26" t="s">
        <v>209</v>
      </c>
      <c r="Q13" s="26" t="s">
        <v>348</v>
      </c>
    </row>
    <row r="14" spans="1:20" x14ac:dyDescent="0.2">
      <c r="A14" s="59" t="s">
        <v>349</v>
      </c>
      <c r="B14" s="26" t="s">
        <v>350</v>
      </c>
      <c r="C14" s="26" t="s">
        <v>351</v>
      </c>
      <c r="D14" s="26">
        <v>20145</v>
      </c>
      <c r="E14" s="60">
        <v>28438</v>
      </c>
      <c r="F14" s="61">
        <v>100</v>
      </c>
      <c r="G14" s="60"/>
      <c r="H14" s="61"/>
      <c r="I14" s="26">
        <v>11</v>
      </c>
      <c r="J14" s="26">
        <v>0.04</v>
      </c>
      <c r="K14" s="26">
        <v>535</v>
      </c>
      <c r="L14" s="26">
        <v>1.88</v>
      </c>
      <c r="M14" s="26">
        <v>99.96</v>
      </c>
      <c r="N14" s="26" t="s">
        <v>352</v>
      </c>
      <c r="O14" s="26" t="s">
        <v>353</v>
      </c>
      <c r="P14" s="26" t="s">
        <v>354</v>
      </c>
      <c r="Q14" s="26" t="s">
        <v>355</v>
      </c>
    </row>
    <row r="15" spans="1:20" x14ac:dyDescent="0.2">
      <c r="A15" s="59" t="s">
        <v>356</v>
      </c>
      <c r="B15" s="26" t="s">
        <v>350</v>
      </c>
      <c r="C15" s="26" t="s">
        <v>351</v>
      </c>
      <c r="D15" s="26">
        <v>23107</v>
      </c>
      <c r="E15" s="60">
        <v>28438</v>
      </c>
      <c r="F15" s="61">
        <v>100</v>
      </c>
      <c r="G15" s="60"/>
      <c r="H15" s="61"/>
      <c r="I15" s="26">
        <v>508</v>
      </c>
      <c r="J15" s="26">
        <v>1.79</v>
      </c>
      <c r="K15" s="26">
        <v>0</v>
      </c>
      <c r="L15" s="26">
        <v>0</v>
      </c>
      <c r="M15" s="26">
        <v>98.21</v>
      </c>
      <c r="N15" s="26" t="s">
        <v>357</v>
      </c>
      <c r="O15" s="26" t="s">
        <v>358</v>
      </c>
      <c r="P15" s="26" t="s">
        <v>236</v>
      </c>
      <c r="Q15" s="26" t="s">
        <v>359</v>
      </c>
    </row>
    <row r="16" spans="1:20" x14ac:dyDescent="0.2">
      <c r="A16" s="59" t="s">
        <v>360</v>
      </c>
      <c r="B16" s="26" t="s">
        <v>350</v>
      </c>
      <c r="C16" s="26" t="s">
        <v>351</v>
      </c>
      <c r="D16" s="26">
        <v>23769</v>
      </c>
      <c r="E16" s="60">
        <v>28438</v>
      </c>
      <c r="F16" s="61">
        <v>100</v>
      </c>
      <c r="G16" s="60"/>
      <c r="H16" s="61"/>
      <c r="I16" s="26">
        <v>4</v>
      </c>
      <c r="J16" s="26">
        <v>0.01</v>
      </c>
      <c r="K16" s="26">
        <v>503</v>
      </c>
      <c r="L16" s="26">
        <v>1.77</v>
      </c>
      <c r="M16" s="26">
        <v>99.99</v>
      </c>
      <c r="N16" s="26" t="s">
        <v>361</v>
      </c>
      <c r="O16" s="26" t="s">
        <v>362</v>
      </c>
      <c r="P16" s="26" t="s">
        <v>363</v>
      </c>
      <c r="Q16" s="26" t="s">
        <v>364</v>
      </c>
    </row>
    <row r="17" spans="1:17" x14ac:dyDescent="0.2">
      <c r="A17" s="59" t="s">
        <v>365</v>
      </c>
      <c r="B17" s="26" t="s">
        <v>366</v>
      </c>
      <c r="C17" s="26" t="s">
        <v>319</v>
      </c>
      <c r="D17" s="26">
        <v>2</v>
      </c>
      <c r="E17" s="60">
        <v>28438</v>
      </c>
      <c r="F17" s="61">
        <v>100</v>
      </c>
      <c r="G17" s="60"/>
      <c r="H17" s="61"/>
      <c r="I17" s="26">
        <v>27893</v>
      </c>
      <c r="J17" s="26">
        <v>98.08</v>
      </c>
      <c r="K17" s="26">
        <v>0</v>
      </c>
      <c r="L17" s="26">
        <v>0</v>
      </c>
      <c r="M17" s="26">
        <v>1.92</v>
      </c>
      <c r="N17" s="26" t="s">
        <v>367</v>
      </c>
      <c r="O17" s="26" t="s">
        <v>368</v>
      </c>
      <c r="P17" s="26" t="s">
        <v>367</v>
      </c>
      <c r="Q17" s="26" t="s">
        <v>369</v>
      </c>
    </row>
    <row r="18" spans="1:17" x14ac:dyDescent="0.2">
      <c r="A18" s="59" t="s">
        <v>370</v>
      </c>
      <c r="B18" s="26" t="s">
        <v>366</v>
      </c>
      <c r="C18" s="26" t="s">
        <v>319</v>
      </c>
      <c r="D18" s="26">
        <v>1</v>
      </c>
      <c r="E18" s="60">
        <v>28438</v>
      </c>
      <c r="F18" s="61">
        <v>100</v>
      </c>
      <c r="G18" s="60"/>
      <c r="H18" s="61"/>
      <c r="I18" s="26">
        <v>27931</v>
      </c>
      <c r="J18" s="26">
        <v>98.21</v>
      </c>
      <c r="K18" s="26">
        <v>0</v>
      </c>
      <c r="L18" s="26">
        <v>0</v>
      </c>
      <c r="M18" s="26">
        <v>1.79</v>
      </c>
      <c r="N18" s="26" t="s">
        <v>367</v>
      </c>
      <c r="O18" s="26" t="s">
        <v>371</v>
      </c>
      <c r="P18" s="26" t="s">
        <v>367</v>
      </c>
      <c r="Q18" s="26" t="s">
        <v>372</v>
      </c>
    </row>
    <row r="19" spans="1:17" x14ac:dyDescent="0.2">
      <c r="A19" s="59" t="s">
        <v>373</v>
      </c>
      <c r="B19" s="26" t="s">
        <v>366</v>
      </c>
      <c r="C19" s="26" t="s">
        <v>319</v>
      </c>
      <c r="D19" s="26">
        <v>2</v>
      </c>
      <c r="E19" s="60">
        <v>28438</v>
      </c>
      <c r="F19" s="61">
        <v>100</v>
      </c>
      <c r="G19" s="60"/>
      <c r="H19" s="61"/>
      <c r="I19" s="26">
        <v>27932</v>
      </c>
      <c r="J19" s="26">
        <v>98.22</v>
      </c>
      <c r="K19" s="26">
        <v>0</v>
      </c>
      <c r="L19" s="26">
        <v>0</v>
      </c>
      <c r="M19" s="26">
        <v>1.78</v>
      </c>
      <c r="N19" s="26" t="s">
        <v>367</v>
      </c>
      <c r="O19" s="26" t="s">
        <v>374</v>
      </c>
      <c r="P19" s="26" t="s">
        <v>367</v>
      </c>
      <c r="Q19" s="26" t="s">
        <v>375</v>
      </c>
    </row>
    <row r="20" spans="1:17" x14ac:dyDescent="0.2">
      <c r="A20"/>
      <c r="B20"/>
      <c r="C20"/>
      <c r="D20"/>
      <c r="E20"/>
      <c r="F20"/>
      <c r="G20"/>
      <c r="H20"/>
      <c r="I20"/>
      <c r="J20"/>
      <c r="K20"/>
      <c r="L20"/>
      <c r="M20"/>
      <c r="N20"/>
      <c r="O20"/>
      <c r="P20"/>
    </row>
    <row r="21" spans="1:17" x14ac:dyDescent="0.2">
      <c r="A21"/>
      <c r="B21"/>
      <c r="C21"/>
      <c r="D21"/>
      <c r="E21"/>
      <c r="F21"/>
      <c r="G21"/>
      <c r="H21"/>
      <c r="I21"/>
      <c r="J21"/>
      <c r="K21"/>
      <c r="L21"/>
      <c r="M21"/>
      <c r="N21"/>
      <c r="O21"/>
      <c r="P21"/>
    </row>
    <row r="22" spans="1:17" x14ac:dyDescent="0.2">
      <c r="A22" s="56" t="s">
        <v>376</v>
      </c>
    </row>
    <row r="23" spans="1:17" x14ac:dyDescent="0.2">
      <c r="A23" s="57" t="s">
        <v>377</v>
      </c>
      <c r="B23" s="216" t="s">
        <v>378</v>
      </c>
      <c r="C23" s="217"/>
      <c r="D23" s="217"/>
      <c r="E23" s="217"/>
      <c r="F23" s="217"/>
      <c r="G23" s="217"/>
      <c r="H23" s="217"/>
      <c r="I23" s="218"/>
      <c r="J23" s="216" t="s">
        <v>379</v>
      </c>
      <c r="K23" s="217"/>
      <c r="L23" s="217"/>
      <c r="M23" s="217"/>
    </row>
    <row r="24" spans="1:17" x14ac:dyDescent="0.2">
      <c r="A24" s="58" t="s">
        <v>380</v>
      </c>
      <c r="B24" s="222" t="s">
        <v>381</v>
      </c>
      <c r="C24" s="222"/>
      <c r="D24" s="222"/>
      <c r="E24" s="222"/>
      <c r="F24" s="222"/>
      <c r="G24" s="222"/>
      <c r="H24" s="222"/>
      <c r="I24" s="222"/>
      <c r="J24" s="219" t="s">
        <v>382</v>
      </c>
      <c r="K24" s="220"/>
      <c r="L24" s="220"/>
      <c r="M24" s="221"/>
    </row>
    <row r="25" spans="1:17" x14ac:dyDescent="0.2">
      <c r="A25" s="58" t="s">
        <v>383</v>
      </c>
      <c r="B25" s="222" t="s">
        <v>384</v>
      </c>
      <c r="C25" s="222"/>
      <c r="D25" s="222"/>
      <c r="E25" s="222"/>
      <c r="F25" s="222"/>
      <c r="G25" s="222"/>
      <c r="H25" s="222"/>
      <c r="I25" s="222"/>
      <c r="J25" s="222" t="s">
        <v>385</v>
      </c>
      <c r="K25" s="222"/>
      <c r="L25" s="222"/>
      <c r="M25" s="222"/>
    </row>
    <row r="26" spans="1:17" x14ac:dyDescent="0.2">
      <c r="A26" s="58" t="s">
        <v>386</v>
      </c>
      <c r="B26" s="222" t="s">
        <v>387</v>
      </c>
      <c r="C26" s="222"/>
      <c r="D26" s="222"/>
      <c r="E26" s="222"/>
      <c r="F26" s="222"/>
      <c r="G26" s="222"/>
      <c r="H26" s="222"/>
      <c r="I26" s="222"/>
      <c r="J26" s="222" t="s">
        <v>388</v>
      </c>
      <c r="K26" s="222"/>
      <c r="L26" s="222"/>
      <c r="M26" s="222"/>
    </row>
    <row r="27" spans="1:17" x14ac:dyDescent="0.2">
      <c r="A27" s="58" t="s">
        <v>389</v>
      </c>
      <c r="B27" s="222" t="s">
        <v>390</v>
      </c>
      <c r="C27" s="222"/>
      <c r="D27" s="222"/>
      <c r="E27" s="222"/>
      <c r="F27" s="222"/>
      <c r="G27" s="222"/>
      <c r="H27" s="222"/>
      <c r="I27" s="222"/>
      <c r="J27" s="222" t="s">
        <v>391</v>
      </c>
      <c r="K27" s="222"/>
      <c r="L27" s="222"/>
      <c r="M27" s="222"/>
    </row>
    <row r="28" spans="1:17" x14ac:dyDescent="0.2">
      <c r="A28" s="58" t="s">
        <v>392</v>
      </c>
      <c r="B28" s="222" t="s">
        <v>393</v>
      </c>
      <c r="C28" s="222"/>
      <c r="D28" s="222"/>
      <c r="E28" s="222"/>
      <c r="F28" s="222"/>
      <c r="G28" s="222"/>
      <c r="H28" s="222"/>
      <c r="I28" s="222"/>
      <c r="J28" s="222" t="s">
        <v>394</v>
      </c>
      <c r="K28" s="222"/>
      <c r="L28" s="222"/>
      <c r="M28" s="222"/>
    </row>
    <row r="29" spans="1:17" x14ac:dyDescent="0.2">
      <c r="A29" s="58" t="s">
        <v>395</v>
      </c>
      <c r="B29" s="222" t="s">
        <v>396</v>
      </c>
      <c r="C29" s="222"/>
      <c r="D29" s="222"/>
      <c r="E29" s="222"/>
      <c r="F29" s="222"/>
      <c r="G29" s="222"/>
      <c r="H29" s="222"/>
      <c r="I29" s="222"/>
      <c r="J29" s="222" t="s">
        <v>397</v>
      </c>
      <c r="K29" s="222"/>
      <c r="L29" s="222"/>
      <c r="M29" s="222"/>
    </row>
    <row r="33" spans="1:15" x14ac:dyDescent="0.2">
      <c r="A33" s="204" t="s">
        <v>398</v>
      </c>
      <c r="B33" s="204"/>
      <c r="C33" s="204"/>
      <c r="D33" s="204"/>
      <c r="E33" s="204"/>
      <c r="F33" s="204"/>
      <c r="G33" s="204"/>
      <c r="H33" s="204"/>
      <c r="I33" s="204"/>
      <c r="J33" s="204"/>
      <c r="K33" s="204"/>
      <c r="L33" s="204"/>
      <c r="M33" s="204"/>
      <c r="N33" s="204"/>
      <c r="O33" s="204"/>
    </row>
    <row r="34" spans="1:15" x14ac:dyDescent="0.2">
      <c r="A34" s="213" t="s">
        <v>399</v>
      </c>
      <c r="B34" s="213"/>
      <c r="C34" s="213"/>
      <c r="D34" s="213"/>
      <c r="E34" s="213"/>
      <c r="F34" s="213"/>
      <c r="G34" s="213"/>
      <c r="H34" s="213"/>
      <c r="I34" s="213"/>
      <c r="J34" s="213"/>
      <c r="K34" s="213"/>
      <c r="L34" s="213"/>
      <c r="M34" s="213"/>
      <c r="N34" s="213"/>
      <c r="O34" s="213"/>
    </row>
    <row r="35" spans="1:15" x14ac:dyDescent="0.2">
      <c r="A35" s="214" t="s">
        <v>400</v>
      </c>
      <c r="B35" s="214"/>
      <c r="C35" s="214"/>
      <c r="D35" s="214"/>
      <c r="E35" s="214"/>
      <c r="F35" s="214"/>
      <c r="G35" s="214"/>
      <c r="H35" s="214"/>
      <c r="I35" s="214"/>
      <c r="J35" s="214"/>
      <c r="K35" s="214"/>
      <c r="L35" s="214"/>
      <c r="M35" s="214"/>
      <c r="N35" s="214"/>
      <c r="O35" s="214"/>
    </row>
    <row r="36" spans="1:15" x14ac:dyDescent="0.2">
      <c r="A36" s="215" t="s">
        <v>401</v>
      </c>
      <c r="B36" s="215"/>
      <c r="C36" s="215"/>
      <c r="D36" s="215"/>
      <c r="E36" s="215"/>
      <c r="F36" s="215"/>
      <c r="G36" s="215"/>
      <c r="H36" s="215"/>
      <c r="I36" s="215"/>
      <c r="J36" s="215"/>
      <c r="K36" s="215"/>
      <c r="L36" s="215"/>
      <c r="M36" s="215"/>
      <c r="N36" s="215"/>
      <c r="O36" s="215"/>
    </row>
    <row r="37" spans="1:15" x14ac:dyDescent="0.2">
      <c r="A37" s="214" t="s">
        <v>402</v>
      </c>
      <c r="B37" s="214"/>
      <c r="C37" s="214"/>
      <c r="D37" s="214"/>
      <c r="E37" s="214"/>
      <c r="F37" s="214"/>
      <c r="G37" s="214"/>
      <c r="H37" s="214"/>
      <c r="I37" s="214"/>
      <c r="J37" s="214"/>
      <c r="K37" s="214"/>
      <c r="L37" s="214"/>
      <c r="M37" s="214"/>
      <c r="N37" s="214"/>
      <c r="O37" s="214"/>
    </row>
    <row r="38" spans="1:15" x14ac:dyDescent="0.2">
      <c r="A38" s="209" t="s">
        <v>403</v>
      </c>
      <c r="B38" s="209"/>
      <c r="C38" s="209"/>
      <c r="D38" s="209"/>
      <c r="E38" s="209"/>
      <c r="F38" s="209"/>
      <c r="G38" s="209"/>
      <c r="H38" s="209"/>
      <c r="I38" s="209"/>
      <c r="J38" s="209"/>
      <c r="K38" s="209"/>
      <c r="L38" s="209"/>
      <c r="M38" s="209"/>
      <c r="N38" s="209"/>
      <c r="O38" s="209"/>
    </row>
  </sheetData>
  <mergeCells count="21">
    <mergeCell ref="A37:O37"/>
    <mergeCell ref="A38:O38"/>
    <mergeCell ref="J24:M24"/>
    <mergeCell ref="J25:M25"/>
    <mergeCell ref="J26:M26"/>
    <mergeCell ref="J27:M27"/>
    <mergeCell ref="J28:M28"/>
    <mergeCell ref="J29:M29"/>
    <mergeCell ref="B24:I24"/>
    <mergeCell ref="B25:I25"/>
    <mergeCell ref="B26:I26"/>
    <mergeCell ref="B27:I27"/>
    <mergeCell ref="B28:I28"/>
    <mergeCell ref="B29:I29"/>
    <mergeCell ref="A1:O1"/>
    <mergeCell ref="A33:O33"/>
    <mergeCell ref="A34:O34"/>
    <mergeCell ref="A35:O35"/>
    <mergeCell ref="A36:O36"/>
    <mergeCell ref="B23:I23"/>
    <mergeCell ref="J23:M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sheetPr>
  <dimension ref="A1:F68"/>
  <sheetViews>
    <sheetView showGridLines="0" workbookViewId="0">
      <selection sqref="A1:F1"/>
    </sheetView>
  </sheetViews>
  <sheetFormatPr baseColWidth="10" defaultColWidth="8.6640625" defaultRowHeight="15" x14ac:dyDescent="0.2"/>
  <cols>
    <col min="1" max="1" width="7" style="23" customWidth="1"/>
    <col min="2" max="2" width="38.6640625" style="23" customWidth="1"/>
    <col min="3" max="3" width="50.6640625" style="23" customWidth="1"/>
    <col min="4" max="4" width="10" style="23" customWidth="1"/>
    <col min="5" max="5" width="50" style="23" customWidth="1"/>
    <col min="6" max="6" width="20" style="23" customWidth="1"/>
    <col min="7" max="16384" width="8.6640625" style="23"/>
  </cols>
  <sheetData>
    <row r="1" spans="1:6" ht="24" customHeight="1" x14ac:dyDescent="0.2">
      <c r="A1" s="205" t="s">
        <v>404</v>
      </c>
      <c r="B1" s="205"/>
      <c r="C1" s="205"/>
      <c r="D1" s="205"/>
      <c r="E1" s="205"/>
      <c r="F1" s="205"/>
    </row>
    <row r="2" spans="1:6" ht="24" customHeight="1" x14ac:dyDescent="0.2">
      <c r="A2" s="206" t="s">
        <v>405</v>
      </c>
      <c r="B2" s="206"/>
      <c r="C2" s="206"/>
      <c r="D2" s="206"/>
      <c r="E2" s="206"/>
      <c r="F2" s="206"/>
    </row>
    <row r="4" spans="1:6" ht="19.5" customHeight="1" x14ac:dyDescent="0.2">
      <c r="A4" s="25" t="s">
        <v>406</v>
      </c>
      <c r="B4" s="24" t="s">
        <v>407</v>
      </c>
      <c r="C4" s="24" t="s">
        <v>408</v>
      </c>
      <c r="D4" s="24" t="s">
        <v>245</v>
      </c>
      <c r="E4" s="24" t="s">
        <v>409</v>
      </c>
      <c r="F4" s="24" t="s">
        <v>410</v>
      </c>
    </row>
    <row r="5" spans="1:6" ht="30" customHeight="1" x14ac:dyDescent="0.2">
      <c r="A5" s="91" t="s">
        <v>411</v>
      </c>
      <c r="B5" s="50" t="s">
        <v>412</v>
      </c>
      <c r="C5" s="90" t="s">
        <v>413</v>
      </c>
      <c r="D5" s="47" t="s">
        <v>414</v>
      </c>
      <c r="E5" s="26" t="s">
        <v>415</v>
      </c>
      <c r="F5" s="89" t="s">
        <v>416</v>
      </c>
    </row>
    <row r="6" spans="1:6" ht="30" customHeight="1" x14ac:dyDescent="0.2">
      <c r="A6" s="91" t="s">
        <v>411</v>
      </c>
      <c r="B6" s="50" t="s">
        <v>417</v>
      </c>
      <c r="C6" s="90" t="s">
        <v>418</v>
      </c>
      <c r="D6" s="47" t="s">
        <v>414</v>
      </c>
      <c r="E6" s="26" t="s">
        <v>419</v>
      </c>
      <c r="F6" s="89"/>
    </row>
    <row r="7" spans="1:6" ht="30" customHeight="1" x14ac:dyDescent="0.2">
      <c r="A7" s="91" t="s">
        <v>411</v>
      </c>
      <c r="B7" s="50" t="s">
        <v>420</v>
      </c>
      <c r="C7" s="90" t="s">
        <v>421</v>
      </c>
      <c r="D7" s="47" t="s">
        <v>422</v>
      </c>
      <c r="E7" s="26" t="s">
        <v>423</v>
      </c>
      <c r="F7" s="89"/>
    </row>
    <row r="8" spans="1:6" ht="30" customHeight="1" x14ac:dyDescent="0.2">
      <c r="A8" s="91" t="s">
        <v>411</v>
      </c>
      <c r="B8" s="50" t="s">
        <v>424</v>
      </c>
      <c r="C8" s="90" t="s">
        <v>425</v>
      </c>
      <c r="D8" s="47" t="s">
        <v>414</v>
      </c>
      <c r="E8" s="26" t="s">
        <v>426</v>
      </c>
      <c r="F8" s="89"/>
    </row>
    <row r="9" spans="1:6" ht="30" customHeight="1" x14ac:dyDescent="0.2">
      <c r="A9" s="91" t="s">
        <v>411</v>
      </c>
      <c r="B9" s="50" t="s">
        <v>427</v>
      </c>
      <c r="C9" s="90" t="s">
        <v>428</v>
      </c>
      <c r="D9" s="47" t="s">
        <v>414</v>
      </c>
      <c r="E9" s="26" t="s">
        <v>429</v>
      </c>
      <c r="F9" s="89"/>
    </row>
    <row r="10" spans="1:6" ht="30" customHeight="1" x14ac:dyDescent="0.2">
      <c r="A10" s="91" t="s">
        <v>430</v>
      </c>
      <c r="B10" s="50" t="s">
        <v>431</v>
      </c>
      <c r="C10" s="90" t="s">
        <v>432</v>
      </c>
      <c r="D10" s="47" t="s">
        <v>414</v>
      </c>
      <c r="E10" s="26" t="s">
        <v>433</v>
      </c>
      <c r="F10" s="89"/>
    </row>
    <row r="11" spans="1:6" ht="30" customHeight="1" x14ac:dyDescent="0.2">
      <c r="A11" s="91" t="s">
        <v>430</v>
      </c>
      <c r="B11" s="50" t="s">
        <v>434</v>
      </c>
      <c r="C11" s="90" t="s">
        <v>435</v>
      </c>
      <c r="D11" s="47" t="s">
        <v>414</v>
      </c>
      <c r="E11" s="26" t="s">
        <v>436</v>
      </c>
      <c r="F11" s="89"/>
    </row>
    <row r="12" spans="1:6" ht="30" customHeight="1" x14ac:dyDescent="0.2">
      <c r="A12" s="91" t="s">
        <v>430</v>
      </c>
      <c r="B12" s="50" t="s">
        <v>437</v>
      </c>
      <c r="C12" s="90" t="s">
        <v>438</v>
      </c>
      <c r="D12" s="47" t="s">
        <v>414</v>
      </c>
      <c r="E12" s="26" t="s">
        <v>439</v>
      </c>
      <c r="F12" s="89"/>
    </row>
    <row r="13" spans="1:6" ht="30" customHeight="1" x14ac:dyDescent="0.2">
      <c r="A13" s="91" t="s">
        <v>430</v>
      </c>
      <c r="B13" s="50" t="s">
        <v>440</v>
      </c>
      <c r="C13" s="90" t="s">
        <v>441</v>
      </c>
      <c r="D13" s="47" t="s">
        <v>414</v>
      </c>
      <c r="E13" s="26" t="s">
        <v>442</v>
      </c>
      <c r="F13" s="89"/>
    </row>
    <row r="14" spans="1:6" ht="30" customHeight="1" x14ac:dyDescent="0.2">
      <c r="A14" s="91" t="s">
        <v>443</v>
      </c>
      <c r="B14" s="50" t="s">
        <v>444</v>
      </c>
      <c r="C14" s="90" t="s">
        <v>445</v>
      </c>
      <c r="D14" s="47" t="s">
        <v>414</v>
      </c>
      <c r="E14" s="26" t="s">
        <v>446</v>
      </c>
      <c r="F14" s="89" t="s">
        <v>416</v>
      </c>
    </row>
    <row r="15" spans="1:6" ht="30" customHeight="1" x14ac:dyDescent="0.2">
      <c r="A15" s="91" t="s">
        <v>443</v>
      </c>
      <c r="B15" s="50" t="s">
        <v>447</v>
      </c>
      <c r="C15" s="90" t="s">
        <v>448</v>
      </c>
      <c r="D15" s="47" t="s">
        <v>414</v>
      </c>
      <c r="E15" s="26" t="s">
        <v>449</v>
      </c>
      <c r="F15" s="89"/>
    </row>
    <row r="16" spans="1:6" ht="30" customHeight="1" x14ac:dyDescent="0.2">
      <c r="A16" s="91" t="s">
        <v>443</v>
      </c>
      <c r="B16" s="50" t="s">
        <v>450</v>
      </c>
      <c r="C16" s="90" t="s">
        <v>451</v>
      </c>
      <c r="D16" s="47" t="s">
        <v>414</v>
      </c>
      <c r="E16" s="26" t="s">
        <v>452</v>
      </c>
      <c r="F16" s="89"/>
    </row>
    <row r="17" spans="1:6" ht="30" customHeight="1" x14ac:dyDescent="0.2">
      <c r="A17" s="91" t="s">
        <v>443</v>
      </c>
      <c r="B17" s="50" t="s">
        <v>453</v>
      </c>
      <c r="C17" s="90" t="s">
        <v>454</v>
      </c>
      <c r="D17" s="47" t="s">
        <v>414</v>
      </c>
      <c r="E17" s="26" t="s">
        <v>455</v>
      </c>
      <c r="F17" s="89"/>
    </row>
    <row r="18" spans="1:6" ht="30" customHeight="1" x14ac:dyDescent="0.2">
      <c r="A18" s="91" t="s">
        <v>443</v>
      </c>
      <c r="B18" s="50" t="s">
        <v>456</v>
      </c>
      <c r="C18" s="90" t="s">
        <v>457</v>
      </c>
      <c r="D18" s="47" t="s">
        <v>414</v>
      </c>
      <c r="E18" s="26" t="s">
        <v>458</v>
      </c>
      <c r="F18" s="89"/>
    </row>
    <row r="19" spans="1:6" ht="30" customHeight="1" x14ac:dyDescent="0.2">
      <c r="A19" s="91" t="s">
        <v>459</v>
      </c>
      <c r="B19" s="50" t="s">
        <v>460</v>
      </c>
      <c r="C19" s="90" t="s">
        <v>461</v>
      </c>
      <c r="D19" s="47" t="s">
        <v>414</v>
      </c>
      <c r="E19" s="26" t="s">
        <v>462</v>
      </c>
      <c r="F19" s="89" t="s">
        <v>416</v>
      </c>
    </row>
    <row r="20" spans="1:6" ht="30" customHeight="1" x14ac:dyDescent="0.2">
      <c r="A20" s="91" t="s">
        <v>459</v>
      </c>
      <c r="B20" s="50" t="s">
        <v>463</v>
      </c>
      <c r="C20" s="90" t="s">
        <v>464</v>
      </c>
      <c r="D20" s="47" t="s">
        <v>414</v>
      </c>
      <c r="E20" s="26" t="s">
        <v>465</v>
      </c>
      <c r="F20" s="89"/>
    </row>
    <row r="21" spans="1:6" ht="30" customHeight="1" x14ac:dyDescent="0.2">
      <c r="A21" s="91" t="s">
        <v>459</v>
      </c>
      <c r="B21" s="50" t="s">
        <v>466</v>
      </c>
      <c r="C21" s="90" t="s">
        <v>467</v>
      </c>
      <c r="D21" s="47" t="s">
        <v>414</v>
      </c>
      <c r="E21" s="26" t="s">
        <v>468</v>
      </c>
      <c r="F21" s="89"/>
    </row>
    <row r="22" spans="1:6" ht="30" customHeight="1" x14ac:dyDescent="0.2">
      <c r="A22" s="91" t="s">
        <v>469</v>
      </c>
      <c r="B22" s="50" t="s">
        <v>470</v>
      </c>
      <c r="C22" s="90" t="s">
        <v>471</v>
      </c>
      <c r="D22" s="47" t="s">
        <v>414</v>
      </c>
      <c r="E22" s="26" t="s">
        <v>472</v>
      </c>
      <c r="F22" s="89"/>
    </row>
    <row r="23" spans="1:6" ht="30" customHeight="1" x14ac:dyDescent="0.2">
      <c r="A23" s="91" t="s">
        <v>473</v>
      </c>
      <c r="B23" s="50" t="s">
        <v>474</v>
      </c>
      <c r="C23" s="90" t="s">
        <v>1234</v>
      </c>
      <c r="D23" s="47" t="s">
        <v>478</v>
      </c>
      <c r="E23" s="26" t="s">
        <v>1235</v>
      </c>
      <c r="F23" s="89" t="s">
        <v>1236</v>
      </c>
    </row>
    <row r="24" spans="1:6" ht="30" customHeight="1" x14ac:dyDescent="0.2">
      <c r="A24" s="91" t="s">
        <v>473</v>
      </c>
      <c r="B24" s="50" t="s">
        <v>475</v>
      </c>
      <c r="C24" s="90" t="s">
        <v>1237</v>
      </c>
      <c r="D24" s="47" t="s">
        <v>478</v>
      </c>
      <c r="E24" s="26" t="s">
        <v>1238</v>
      </c>
      <c r="F24" s="89"/>
    </row>
    <row r="25" spans="1:6" ht="30" customHeight="1" x14ac:dyDescent="0.2">
      <c r="A25" s="91" t="s">
        <v>473</v>
      </c>
      <c r="B25" s="50" t="s">
        <v>476</v>
      </c>
      <c r="C25" s="90" t="s">
        <v>477</v>
      </c>
      <c r="D25" s="47" t="s">
        <v>478</v>
      </c>
      <c r="E25" s="26" t="s">
        <v>479</v>
      </c>
      <c r="F25" s="89"/>
    </row>
    <row r="26" spans="1:6" ht="30" customHeight="1" x14ac:dyDescent="0.2">
      <c r="A26" s="91" t="s">
        <v>473</v>
      </c>
      <c r="B26" s="50" t="s">
        <v>480</v>
      </c>
      <c r="C26" s="90" t="s">
        <v>481</v>
      </c>
      <c r="D26" s="47" t="s">
        <v>478</v>
      </c>
      <c r="E26" s="26" t="s">
        <v>482</v>
      </c>
      <c r="F26" s="89"/>
    </row>
    <row r="27" spans="1:6" ht="30" customHeight="1" x14ac:dyDescent="0.2">
      <c r="A27" s="91" t="s">
        <v>473</v>
      </c>
      <c r="B27" s="50" t="s">
        <v>483</v>
      </c>
      <c r="C27" s="90" t="s">
        <v>484</v>
      </c>
      <c r="D27" s="47" t="s">
        <v>414</v>
      </c>
      <c r="E27" s="26" t="s">
        <v>485</v>
      </c>
      <c r="F27" s="89"/>
    </row>
    <row r="28" spans="1:6" ht="30" customHeight="1" x14ac:dyDescent="0.2">
      <c r="A28" s="91" t="s">
        <v>486</v>
      </c>
      <c r="B28" s="50" t="s">
        <v>487</v>
      </c>
      <c r="C28" s="90" t="s">
        <v>1239</v>
      </c>
      <c r="D28" s="47" t="s">
        <v>1240</v>
      </c>
      <c r="E28" s="26" t="s">
        <v>1241</v>
      </c>
      <c r="F28" s="89" t="s">
        <v>1236</v>
      </c>
    </row>
    <row r="29" spans="1:6" ht="30" customHeight="1" x14ac:dyDescent="0.2">
      <c r="A29" s="91" t="s">
        <v>486</v>
      </c>
      <c r="B29" s="50" t="s">
        <v>488</v>
      </c>
      <c r="C29" s="90" t="s">
        <v>489</v>
      </c>
      <c r="D29" s="47" t="s">
        <v>490</v>
      </c>
      <c r="E29" s="26" t="s">
        <v>491</v>
      </c>
      <c r="F29" s="89"/>
    </row>
    <row r="30" spans="1:6" ht="30" customHeight="1" x14ac:dyDescent="0.2">
      <c r="A30" s="91" t="s">
        <v>492</v>
      </c>
      <c r="B30" s="50" t="s">
        <v>493</v>
      </c>
      <c r="C30" s="90" t="s">
        <v>1242</v>
      </c>
      <c r="D30" s="47" t="s">
        <v>414</v>
      </c>
      <c r="E30" s="26" t="s">
        <v>1243</v>
      </c>
      <c r="F30" s="89" t="s">
        <v>1244</v>
      </c>
    </row>
    <row r="31" spans="1:6" ht="30" customHeight="1" x14ac:dyDescent="0.2">
      <c r="A31" s="91" t="s">
        <v>492</v>
      </c>
      <c r="B31" s="50" t="s">
        <v>494</v>
      </c>
      <c r="C31" s="90" t="s">
        <v>1245</v>
      </c>
      <c r="D31" s="47" t="s">
        <v>414</v>
      </c>
      <c r="E31" s="26" t="s">
        <v>1246</v>
      </c>
      <c r="F31" s="89"/>
    </row>
    <row r="32" spans="1:6" ht="30" customHeight="1" x14ac:dyDescent="0.2">
      <c r="A32" s="91" t="s">
        <v>492</v>
      </c>
      <c r="B32" s="50" t="s">
        <v>495</v>
      </c>
      <c r="C32" s="90" t="s">
        <v>1247</v>
      </c>
      <c r="D32" s="47" t="s">
        <v>414</v>
      </c>
      <c r="E32" s="26" t="s">
        <v>1248</v>
      </c>
      <c r="F32" s="89"/>
    </row>
    <row r="33" spans="1:6" ht="30" customHeight="1" x14ac:dyDescent="0.2">
      <c r="A33" s="91" t="s">
        <v>492</v>
      </c>
      <c r="B33" s="50" t="s">
        <v>496</v>
      </c>
      <c r="C33" s="90" t="s">
        <v>1249</v>
      </c>
      <c r="D33" s="47" t="s">
        <v>414</v>
      </c>
      <c r="E33" s="26" t="s">
        <v>1250</v>
      </c>
      <c r="F33" s="89"/>
    </row>
    <row r="34" spans="1:6" ht="30" customHeight="1" x14ac:dyDescent="0.2">
      <c r="A34" s="91" t="s">
        <v>497</v>
      </c>
      <c r="B34" s="50" t="s">
        <v>498</v>
      </c>
      <c r="C34" s="90" t="s">
        <v>499</v>
      </c>
      <c r="D34" s="47" t="s">
        <v>414</v>
      </c>
      <c r="E34" s="26" t="s">
        <v>500</v>
      </c>
      <c r="F34" s="89"/>
    </row>
    <row r="35" spans="1:6" ht="30" customHeight="1" x14ac:dyDescent="0.2">
      <c r="A35" s="91" t="s">
        <v>501</v>
      </c>
      <c r="B35" s="50" t="s">
        <v>502</v>
      </c>
      <c r="C35" s="90" t="s">
        <v>1251</v>
      </c>
      <c r="D35" s="47" t="s">
        <v>414</v>
      </c>
      <c r="E35" s="26" t="s">
        <v>1252</v>
      </c>
      <c r="F35" s="89" t="s">
        <v>1244</v>
      </c>
    </row>
    <row r="36" spans="1:6" ht="30" customHeight="1" x14ac:dyDescent="0.2">
      <c r="A36" s="91" t="s">
        <v>501</v>
      </c>
      <c r="B36" s="50" t="s">
        <v>503</v>
      </c>
      <c r="C36" s="90" t="s">
        <v>1253</v>
      </c>
      <c r="D36" s="47" t="s">
        <v>414</v>
      </c>
      <c r="E36" s="26" t="s">
        <v>1254</v>
      </c>
      <c r="F36" s="89"/>
    </row>
    <row r="37" spans="1:6" ht="30" customHeight="1" x14ac:dyDescent="0.2">
      <c r="A37" s="91" t="s">
        <v>504</v>
      </c>
      <c r="B37" s="50" t="s">
        <v>505</v>
      </c>
      <c r="C37" s="90" t="s">
        <v>506</v>
      </c>
      <c r="D37" s="47" t="s">
        <v>414</v>
      </c>
      <c r="E37" s="26" t="s">
        <v>507</v>
      </c>
      <c r="F37" s="89" t="s">
        <v>508</v>
      </c>
    </row>
    <row r="38" spans="1:6" ht="30" customHeight="1" x14ac:dyDescent="0.2">
      <c r="A38" s="91" t="s">
        <v>504</v>
      </c>
      <c r="B38" s="50" t="s">
        <v>509</v>
      </c>
      <c r="C38" s="90" t="s">
        <v>510</v>
      </c>
      <c r="D38" s="47" t="s">
        <v>414</v>
      </c>
      <c r="E38" s="26" t="s">
        <v>511</v>
      </c>
      <c r="F38" s="89"/>
    </row>
    <row r="39" spans="1:6" ht="30" customHeight="1" x14ac:dyDescent="0.2">
      <c r="A39" s="91" t="s">
        <v>504</v>
      </c>
      <c r="B39" s="50" t="s">
        <v>512</v>
      </c>
      <c r="C39" s="90" t="s">
        <v>513</v>
      </c>
      <c r="D39" s="47" t="s">
        <v>414</v>
      </c>
      <c r="E39" s="26" t="s">
        <v>514</v>
      </c>
      <c r="F39" s="89"/>
    </row>
    <row r="40" spans="1:6" ht="30" customHeight="1" x14ac:dyDescent="0.2">
      <c r="A40" s="91" t="s">
        <v>504</v>
      </c>
      <c r="B40" s="50" t="s">
        <v>515</v>
      </c>
      <c r="C40" s="90" t="s">
        <v>516</v>
      </c>
      <c r="D40" s="47" t="s">
        <v>414</v>
      </c>
      <c r="E40" s="26" t="s">
        <v>517</v>
      </c>
      <c r="F40" s="89"/>
    </row>
    <row r="41" spans="1:6" ht="30" customHeight="1" x14ac:dyDescent="0.2">
      <c r="A41" s="91" t="s">
        <v>504</v>
      </c>
      <c r="B41" s="50" t="s">
        <v>518</v>
      </c>
      <c r="C41" s="90" t="s">
        <v>519</v>
      </c>
      <c r="D41" s="47" t="s">
        <v>414</v>
      </c>
      <c r="E41" s="26" t="s">
        <v>520</v>
      </c>
      <c r="F41" s="89"/>
    </row>
    <row r="42" spans="1:6" ht="30" customHeight="1" x14ac:dyDescent="0.2">
      <c r="A42" s="91" t="s">
        <v>504</v>
      </c>
      <c r="B42" s="50" t="s">
        <v>521</v>
      </c>
      <c r="C42" s="90" t="s">
        <v>522</v>
      </c>
      <c r="D42" s="47" t="s">
        <v>414</v>
      </c>
      <c r="E42" s="26" t="s">
        <v>523</v>
      </c>
      <c r="F42" s="89"/>
    </row>
    <row r="43" spans="1:6" ht="30" customHeight="1" x14ac:dyDescent="0.2">
      <c r="A43" s="91" t="s">
        <v>524</v>
      </c>
      <c r="B43" s="50" t="s">
        <v>525</v>
      </c>
      <c r="C43" s="90" t="s">
        <v>526</v>
      </c>
      <c r="D43" s="47" t="s">
        <v>414</v>
      </c>
      <c r="E43" s="26" t="s">
        <v>527</v>
      </c>
      <c r="F43" s="89"/>
    </row>
    <row r="44" spans="1:6" ht="30" customHeight="1" x14ac:dyDescent="0.2">
      <c r="A44" s="91" t="s">
        <v>528</v>
      </c>
      <c r="B44" s="50" t="s">
        <v>529</v>
      </c>
      <c r="C44" s="90" t="s">
        <v>530</v>
      </c>
      <c r="D44" s="47" t="s">
        <v>414</v>
      </c>
      <c r="E44" s="26" t="s">
        <v>531</v>
      </c>
      <c r="F44" s="89" t="s">
        <v>532</v>
      </c>
    </row>
    <row r="45" spans="1:6" ht="30" customHeight="1" x14ac:dyDescent="0.2">
      <c r="A45" s="91" t="s">
        <v>528</v>
      </c>
      <c r="B45" s="50" t="s">
        <v>533</v>
      </c>
      <c r="C45" s="90" t="s">
        <v>534</v>
      </c>
      <c r="D45" s="47" t="s">
        <v>414</v>
      </c>
      <c r="E45" s="26" t="s">
        <v>535</v>
      </c>
      <c r="F45" s="89"/>
    </row>
    <row r="46" spans="1:6" ht="30" customHeight="1" x14ac:dyDescent="0.2">
      <c r="A46" s="91" t="s">
        <v>528</v>
      </c>
      <c r="B46" s="50" t="s">
        <v>536</v>
      </c>
      <c r="C46" s="90" t="s">
        <v>537</v>
      </c>
      <c r="D46" s="47" t="s">
        <v>414</v>
      </c>
      <c r="E46" s="26" t="s">
        <v>538</v>
      </c>
      <c r="F46" s="89"/>
    </row>
    <row r="54" spans="2:5" ht="15" customHeight="1" x14ac:dyDescent="0.2">
      <c r="B54" s="30" t="s">
        <v>539</v>
      </c>
      <c r="C54" s="30"/>
      <c r="D54" s="30"/>
      <c r="E54" s="30"/>
    </row>
    <row r="55" spans="2:5" x14ac:dyDescent="0.2">
      <c r="B55" s="24" t="s">
        <v>143</v>
      </c>
      <c r="C55" s="24" t="s">
        <v>144</v>
      </c>
      <c r="E55" s="24" t="s">
        <v>189</v>
      </c>
    </row>
    <row r="56" spans="2:5" x14ac:dyDescent="0.2">
      <c r="B56" s="92" t="s">
        <v>540</v>
      </c>
      <c r="C56" s="26" t="s">
        <v>541</v>
      </c>
      <c r="E56" s="26" t="s">
        <v>542</v>
      </c>
    </row>
    <row r="57" spans="2:5" x14ac:dyDescent="0.2">
      <c r="B57" s="92" t="s">
        <v>543</v>
      </c>
      <c r="C57" s="26" t="s">
        <v>544</v>
      </c>
      <c r="E57" s="26" t="s">
        <v>545</v>
      </c>
    </row>
    <row r="58" spans="2:5" x14ac:dyDescent="0.2">
      <c r="B58" s="92" t="s">
        <v>546</v>
      </c>
      <c r="C58" s="26" t="s">
        <v>547</v>
      </c>
      <c r="E58" s="26" t="s">
        <v>548</v>
      </c>
    </row>
    <row r="59" spans="2:5" x14ac:dyDescent="0.2">
      <c r="B59" s="92" t="s">
        <v>549</v>
      </c>
      <c r="C59" s="26" t="s">
        <v>550</v>
      </c>
      <c r="E59" s="26" t="s">
        <v>551</v>
      </c>
    </row>
    <row r="60" spans="2:5" x14ac:dyDescent="0.2">
      <c r="B60" s="92" t="s">
        <v>447</v>
      </c>
      <c r="C60" s="26" t="s">
        <v>552</v>
      </c>
      <c r="E60" s="26" t="s">
        <v>553</v>
      </c>
    </row>
    <row r="61" spans="2:5" x14ac:dyDescent="0.2">
      <c r="B61" s="92" t="s">
        <v>450</v>
      </c>
      <c r="C61" s="26" t="s">
        <v>554</v>
      </c>
      <c r="E61" s="26" t="s">
        <v>555</v>
      </c>
    </row>
    <row r="62" spans="2:5" x14ac:dyDescent="0.2">
      <c r="B62" s="92" t="s">
        <v>556</v>
      </c>
      <c r="C62" s="26" t="s">
        <v>557</v>
      </c>
      <c r="E62" s="26" t="s">
        <v>558</v>
      </c>
    </row>
    <row r="63" spans="2:5" x14ac:dyDescent="0.2">
      <c r="B63" s="92" t="s">
        <v>559</v>
      </c>
      <c r="C63" s="26" t="s">
        <v>560</v>
      </c>
      <c r="E63" s="26" t="s">
        <v>561</v>
      </c>
    </row>
    <row r="64" spans="2:5" x14ac:dyDescent="0.2">
      <c r="B64" s="92" t="s">
        <v>562</v>
      </c>
      <c r="C64" s="26" t="s">
        <v>563</v>
      </c>
      <c r="E64" s="26" t="s">
        <v>564</v>
      </c>
    </row>
    <row r="65" spans="2:5" x14ac:dyDescent="0.2">
      <c r="B65" s="92" t="s">
        <v>164</v>
      </c>
      <c r="C65" s="26" t="s">
        <v>565</v>
      </c>
      <c r="E65" s="26" t="s">
        <v>566</v>
      </c>
    </row>
    <row r="66" spans="2:5" x14ac:dyDescent="0.2">
      <c r="B66" s="92" t="s">
        <v>567</v>
      </c>
      <c r="C66" s="26" t="s">
        <v>568</v>
      </c>
      <c r="E66" s="26" t="s">
        <v>569</v>
      </c>
    </row>
    <row r="67" spans="2:5" x14ac:dyDescent="0.2">
      <c r="B67" s="92" t="s">
        <v>570</v>
      </c>
      <c r="C67" s="26" t="s">
        <v>571</v>
      </c>
      <c r="E67" s="9" t="s">
        <v>1255</v>
      </c>
    </row>
    <row r="68" spans="2:5" x14ac:dyDescent="0.2">
      <c r="B68" s="92" t="s">
        <v>572</v>
      </c>
      <c r="C68" s="26" t="s">
        <v>573</v>
      </c>
      <c r="E68" s="26" t="s">
        <v>574</v>
      </c>
    </row>
  </sheetData>
  <mergeCells count="2">
    <mergeCell ref="A1:F1"/>
    <mergeCell ref="A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59996337778862885"/>
  </sheetPr>
  <dimension ref="A1:I71"/>
  <sheetViews>
    <sheetView showGridLines="0" zoomScale="134" workbookViewId="0">
      <selection activeCell="H1" sqref="H1:H1048576"/>
    </sheetView>
  </sheetViews>
  <sheetFormatPr baseColWidth="10" defaultColWidth="14.5" defaultRowHeight="15" x14ac:dyDescent="0.2"/>
  <cols>
    <col min="1" max="1" width="5.1640625" style="2" customWidth="1"/>
    <col min="2" max="2" width="22.33203125" style="18" customWidth="1"/>
    <col min="3" max="3" width="12.83203125" style="18" customWidth="1"/>
    <col min="4" max="4" width="10" style="10" customWidth="1"/>
    <col min="5" max="5" width="3.33203125" style="16" customWidth="1"/>
    <col min="6" max="6" width="59" style="18" customWidth="1"/>
    <col min="7" max="7" width="25.6640625" style="18" customWidth="1"/>
    <col min="8" max="8" width="26.6640625" style="2" customWidth="1"/>
    <col min="9" max="9" width="12.33203125" style="10" customWidth="1"/>
    <col min="10" max="25" width="8.6640625" style="2" customWidth="1"/>
    <col min="26" max="16384" width="14.5" style="2"/>
  </cols>
  <sheetData>
    <row r="1" spans="1:9" ht="20" x14ac:dyDescent="0.2">
      <c r="A1" s="3" t="s">
        <v>575</v>
      </c>
      <c r="B1" s="7"/>
      <c r="C1" s="8"/>
      <c r="D1" s="55"/>
      <c r="E1" s="51"/>
      <c r="F1" s="3"/>
      <c r="G1" s="51"/>
    </row>
    <row r="2" spans="1:9" x14ac:dyDescent="0.2">
      <c r="A2" s="179" t="s">
        <v>576</v>
      </c>
      <c r="B2" s="179"/>
      <c r="C2" s="179"/>
      <c r="D2" s="179"/>
      <c r="E2" s="179"/>
      <c r="F2" s="179"/>
      <c r="G2" s="179"/>
      <c r="I2" s="2"/>
    </row>
    <row r="4" spans="1:9" ht="28" x14ac:dyDescent="0.2">
      <c r="A4" s="52" t="s">
        <v>577</v>
      </c>
      <c r="B4" s="53" t="s">
        <v>578</v>
      </c>
      <c r="C4" s="53" t="s">
        <v>579</v>
      </c>
      <c r="D4" s="22" t="s">
        <v>185</v>
      </c>
      <c r="E4" s="52" t="s">
        <v>40</v>
      </c>
      <c r="F4" s="53" t="s">
        <v>580</v>
      </c>
      <c r="G4" s="53" t="s">
        <v>581</v>
      </c>
      <c r="I4" s="2"/>
    </row>
    <row r="5" spans="1:9" x14ac:dyDescent="0.2">
      <c r="A5" s="225" t="s">
        <v>582</v>
      </c>
      <c r="B5" s="223" t="s">
        <v>583</v>
      </c>
      <c r="C5" s="226" t="s">
        <v>584</v>
      </c>
      <c r="D5" s="64" t="s">
        <v>247</v>
      </c>
      <c r="E5" s="54" t="s">
        <v>585</v>
      </c>
      <c r="F5" s="9" t="s">
        <v>586</v>
      </c>
      <c r="G5" s="62"/>
      <c r="I5" s="2"/>
    </row>
    <row r="6" spans="1:9" x14ac:dyDescent="0.2">
      <c r="A6" s="225"/>
      <c r="B6" s="224"/>
      <c r="C6" s="224"/>
      <c r="D6" s="64" t="s">
        <v>247</v>
      </c>
      <c r="E6" s="54" t="s">
        <v>587</v>
      </c>
      <c r="F6" s="9" t="s">
        <v>588</v>
      </c>
      <c r="G6" s="62" t="s">
        <v>589</v>
      </c>
      <c r="I6" s="2"/>
    </row>
    <row r="7" spans="1:9" x14ac:dyDescent="0.2">
      <c r="A7" s="225"/>
      <c r="B7" s="224"/>
      <c r="C7" s="224"/>
      <c r="D7" s="64" t="s">
        <v>247</v>
      </c>
      <c r="E7" s="54" t="s">
        <v>590</v>
      </c>
      <c r="F7" s="9" t="s">
        <v>591</v>
      </c>
      <c r="G7" s="62" t="s">
        <v>592</v>
      </c>
      <c r="I7" s="2"/>
    </row>
    <row r="8" spans="1:9" x14ac:dyDescent="0.2">
      <c r="A8" s="225"/>
      <c r="B8" s="224"/>
      <c r="C8" s="224"/>
      <c r="D8" s="64" t="s">
        <v>247</v>
      </c>
      <c r="E8" s="54" t="s">
        <v>593</v>
      </c>
      <c r="F8" s="9" t="s">
        <v>594</v>
      </c>
      <c r="G8" s="62"/>
      <c r="I8" s="2"/>
    </row>
    <row r="9" spans="1:9" x14ac:dyDescent="0.2">
      <c r="A9" s="225"/>
      <c r="B9" s="224"/>
      <c r="C9" s="224"/>
      <c r="D9" s="64" t="s">
        <v>247</v>
      </c>
      <c r="E9" s="54" t="s">
        <v>595</v>
      </c>
      <c r="F9" s="9" t="s">
        <v>596</v>
      </c>
      <c r="G9" s="62"/>
      <c r="I9" s="2"/>
    </row>
    <row r="10" spans="1:9" x14ac:dyDescent="0.2">
      <c r="A10" s="225" t="s">
        <v>48</v>
      </c>
      <c r="B10" s="223" t="s">
        <v>597</v>
      </c>
      <c r="C10" s="226" t="s">
        <v>598</v>
      </c>
      <c r="D10" s="64" t="s">
        <v>247</v>
      </c>
      <c r="E10" s="54" t="s">
        <v>599</v>
      </c>
      <c r="F10" s="9" t="s">
        <v>600</v>
      </c>
      <c r="G10" s="62" t="s">
        <v>601</v>
      </c>
      <c r="I10" s="2"/>
    </row>
    <row r="11" spans="1:9" x14ac:dyDescent="0.2">
      <c r="A11" s="225"/>
      <c r="B11" s="224"/>
      <c r="C11" s="224"/>
      <c r="D11" s="64" t="s">
        <v>247</v>
      </c>
      <c r="E11" s="54" t="s">
        <v>602</v>
      </c>
      <c r="F11" s="9" t="s">
        <v>603</v>
      </c>
      <c r="G11" s="62" t="s">
        <v>604</v>
      </c>
      <c r="I11" s="2"/>
    </row>
    <row r="12" spans="1:9" x14ac:dyDescent="0.2">
      <c r="A12" s="225"/>
      <c r="B12" s="224"/>
      <c r="C12" s="224"/>
      <c r="D12" s="64" t="s">
        <v>247</v>
      </c>
      <c r="E12" s="54" t="s">
        <v>605</v>
      </c>
      <c r="F12" s="9" t="s">
        <v>606</v>
      </c>
      <c r="G12" s="62"/>
      <c r="I12" s="2"/>
    </row>
    <row r="13" spans="1:9" x14ac:dyDescent="0.2">
      <c r="A13" s="225"/>
      <c r="B13" s="224"/>
      <c r="C13" s="224"/>
      <c r="D13" s="64" t="s">
        <v>247</v>
      </c>
      <c r="E13" s="54" t="s">
        <v>607</v>
      </c>
      <c r="F13" s="9" t="s">
        <v>608</v>
      </c>
      <c r="G13" s="62"/>
      <c r="I13" s="2"/>
    </row>
    <row r="14" spans="1:9" x14ac:dyDescent="0.2">
      <c r="A14" s="225"/>
      <c r="B14" s="224"/>
      <c r="C14" s="224"/>
      <c r="D14" s="64" t="s">
        <v>247</v>
      </c>
      <c r="E14" s="54" t="s">
        <v>609</v>
      </c>
      <c r="F14" s="9" t="s">
        <v>610</v>
      </c>
      <c r="G14" s="62" t="s">
        <v>611</v>
      </c>
      <c r="I14" s="2"/>
    </row>
    <row r="15" spans="1:9" x14ac:dyDescent="0.2">
      <c r="A15" s="225"/>
      <c r="B15" s="224"/>
      <c r="C15" s="224"/>
      <c r="D15" s="64" t="s">
        <v>247</v>
      </c>
      <c r="E15" s="54" t="s">
        <v>612</v>
      </c>
      <c r="F15" s="9" t="s">
        <v>613</v>
      </c>
      <c r="G15" s="62"/>
      <c r="I15" s="2"/>
    </row>
    <row r="16" spans="1:9" ht="15" customHeight="1" x14ac:dyDescent="0.2">
      <c r="A16" s="225" t="s">
        <v>56</v>
      </c>
      <c r="B16" s="223" t="s">
        <v>614</v>
      </c>
      <c r="C16" s="226" t="s">
        <v>615</v>
      </c>
      <c r="D16" s="64" t="s">
        <v>247</v>
      </c>
      <c r="E16" s="54" t="s">
        <v>616</v>
      </c>
      <c r="F16" s="9" t="s">
        <v>617</v>
      </c>
      <c r="G16" s="62" t="s">
        <v>618</v>
      </c>
      <c r="I16" s="2"/>
    </row>
    <row r="17" spans="1:9" x14ac:dyDescent="0.2">
      <c r="A17" s="225"/>
      <c r="B17" s="224"/>
      <c r="C17" s="224"/>
      <c r="D17" s="64" t="s">
        <v>247</v>
      </c>
      <c r="E17" s="54" t="s">
        <v>619</v>
      </c>
      <c r="F17" s="9" t="s">
        <v>620</v>
      </c>
      <c r="G17" s="62"/>
      <c r="I17" s="2"/>
    </row>
    <row r="18" spans="1:9" x14ac:dyDescent="0.2">
      <c r="A18" s="225"/>
      <c r="B18" s="224"/>
      <c r="C18" s="224"/>
      <c r="D18" s="64" t="s">
        <v>247</v>
      </c>
      <c r="E18" s="54" t="s">
        <v>621</v>
      </c>
      <c r="F18" s="9" t="s">
        <v>622</v>
      </c>
      <c r="G18" s="62" t="s">
        <v>623</v>
      </c>
      <c r="I18" s="2"/>
    </row>
    <row r="19" spans="1:9" x14ac:dyDescent="0.2">
      <c r="A19" s="225" t="s">
        <v>64</v>
      </c>
      <c r="B19" s="223" t="s">
        <v>624</v>
      </c>
      <c r="C19" s="226" t="s">
        <v>615</v>
      </c>
      <c r="D19" s="64" t="s">
        <v>247</v>
      </c>
      <c r="E19" s="54" t="s">
        <v>625</v>
      </c>
      <c r="F19" s="9" t="s">
        <v>626</v>
      </c>
      <c r="G19" s="62" t="s">
        <v>627</v>
      </c>
      <c r="I19" s="2"/>
    </row>
    <row r="20" spans="1:9" x14ac:dyDescent="0.2">
      <c r="A20" s="225"/>
      <c r="B20" s="224"/>
      <c r="C20" s="224"/>
      <c r="D20" s="64" t="s">
        <v>247</v>
      </c>
      <c r="E20" s="54" t="s">
        <v>628</v>
      </c>
      <c r="F20" s="9" t="s">
        <v>629</v>
      </c>
      <c r="G20" s="62" t="s">
        <v>630</v>
      </c>
      <c r="I20" s="2"/>
    </row>
    <row r="21" spans="1:9" x14ac:dyDescent="0.2">
      <c r="A21" s="225"/>
      <c r="B21" s="224"/>
      <c r="C21" s="224"/>
      <c r="D21" s="64" t="s">
        <v>247</v>
      </c>
      <c r="E21" s="54" t="s">
        <v>631</v>
      </c>
      <c r="F21" s="9" t="s">
        <v>632</v>
      </c>
      <c r="G21" s="62"/>
      <c r="I21" s="2"/>
    </row>
    <row r="22" spans="1:9" x14ac:dyDescent="0.2">
      <c r="A22" s="225" t="s">
        <v>71</v>
      </c>
      <c r="B22" s="223" t="s">
        <v>633</v>
      </c>
      <c r="C22" s="226" t="s">
        <v>615</v>
      </c>
      <c r="D22" s="64" t="s">
        <v>247</v>
      </c>
      <c r="E22" s="54" t="s">
        <v>634</v>
      </c>
      <c r="F22" s="9" t="s">
        <v>635</v>
      </c>
      <c r="G22" s="62" t="s">
        <v>636</v>
      </c>
      <c r="I22" s="2"/>
    </row>
    <row r="23" spans="1:9" ht="26" x14ac:dyDescent="0.2">
      <c r="A23" s="225"/>
      <c r="B23" s="224"/>
      <c r="C23" s="224"/>
      <c r="D23" s="64" t="s">
        <v>247</v>
      </c>
      <c r="E23" s="54" t="s">
        <v>637</v>
      </c>
      <c r="F23" s="9" t="s">
        <v>1256</v>
      </c>
      <c r="G23" s="62" t="s">
        <v>638</v>
      </c>
      <c r="I23" s="2"/>
    </row>
    <row r="24" spans="1:9" x14ac:dyDescent="0.2">
      <c r="A24" s="225"/>
      <c r="B24" s="224"/>
      <c r="C24" s="224"/>
      <c r="D24" s="64" t="s">
        <v>247</v>
      </c>
      <c r="E24" s="54" t="s">
        <v>639</v>
      </c>
      <c r="F24" s="9" t="s">
        <v>640</v>
      </c>
      <c r="G24" s="62" t="s">
        <v>641</v>
      </c>
      <c r="I24" s="2"/>
    </row>
    <row r="25" spans="1:9" x14ac:dyDescent="0.2">
      <c r="A25" s="225" t="s">
        <v>77</v>
      </c>
      <c r="B25" s="223" t="s">
        <v>642</v>
      </c>
      <c r="C25" s="226" t="s">
        <v>615</v>
      </c>
      <c r="D25" s="64" t="s">
        <v>247</v>
      </c>
      <c r="E25" s="54" t="s">
        <v>643</v>
      </c>
      <c r="F25" s="9" t="s">
        <v>644</v>
      </c>
      <c r="G25" s="62" t="s">
        <v>645</v>
      </c>
      <c r="I25" s="2"/>
    </row>
    <row r="26" spans="1:9" ht="26" x14ac:dyDescent="0.2">
      <c r="A26" s="225"/>
      <c r="B26" s="224"/>
      <c r="C26" s="224"/>
      <c r="D26" s="64" t="s">
        <v>247</v>
      </c>
      <c r="E26" s="54" t="s">
        <v>646</v>
      </c>
      <c r="F26" s="9" t="s">
        <v>1257</v>
      </c>
      <c r="G26" s="62" t="s">
        <v>647</v>
      </c>
      <c r="I26" s="2"/>
    </row>
    <row r="27" spans="1:9" x14ac:dyDescent="0.2">
      <c r="A27" s="225"/>
      <c r="B27" s="224"/>
      <c r="C27" s="224"/>
      <c r="D27" s="64" t="s">
        <v>247</v>
      </c>
      <c r="E27" s="54" t="s">
        <v>648</v>
      </c>
      <c r="F27" s="9" t="s">
        <v>649</v>
      </c>
      <c r="G27" s="62"/>
      <c r="I27" s="2"/>
    </row>
    <row r="28" spans="1:9" x14ac:dyDescent="0.2">
      <c r="A28" s="225" t="s">
        <v>160</v>
      </c>
      <c r="B28" s="223" t="s">
        <v>650</v>
      </c>
      <c r="C28" s="226" t="s">
        <v>651</v>
      </c>
      <c r="D28" s="64" t="s">
        <v>247</v>
      </c>
      <c r="E28" s="54" t="s">
        <v>652</v>
      </c>
      <c r="F28" s="9" t="s">
        <v>653</v>
      </c>
      <c r="G28" s="62" t="s">
        <v>654</v>
      </c>
      <c r="I28" s="2"/>
    </row>
    <row r="29" spans="1:9" ht="26" x14ac:dyDescent="0.2">
      <c r="A29" s="225"/>
      <c r="B29" s="224"/>
      <c r="C29" s="224"/>
      <c r="D29" s="64" t="s">
        <v>247</v>
      </c>
      <c r="E29" s="54" t="s">
        <v>655</v>
      </c>
      <c r="F29" s="9" t="s">
        <v>1258</v>
      </c>
      <c r="G29" s="62"/>
      <c r="I29" s="2"/>
    </row>
    <row r="30" spans="1:9" x14ac:dyDescent="0.2">
      <c r="A30" s="225"/>
      <c r="B30" s="224"/>
      <c r="C30" s="224"/>
      <c r="D30" s="64" t="s">
        <v>247</v>
      </c>
      <c r="E30" s="54" t="s">
        <v>656</v>
      </c>
      <c r="F30" s="9" t="s">
        <v>657</v>
      </c>
      <c r="G30" s="62" t="s">
        <v>658</v>
      </c>
      <c r="I30" s="2"/>
    </row>
    <row r="31" spans="1:9" x14ac:dyDescent="0.2">
      <c r="A31" s="225" t="s">
        <v>163</v>
      </c>
      <c r="B31" s="223" t="s">
        <v>659</v>
      </c>
      <c r="C31" s="226" t="s">
        <v>615</v>
      </c>
      <c r="D31" s="64" t="s">
        <v>247</v>
      </c>
      <c r="E31" s="54" t="s">
        <v>660</v>
      </c>
      <c r="F31" s="9" t="s">
        <v>661</v>
      </c>
      <c r="G31" s="62" t="s">
        <v>662</v>
      </c>
      <c r="I31" s="2"/>
    </row>
    <row r="32" spans="1:9" x14ac:dyDescent="0.2">
      <c r="A32" s="225"/>
      <c r="B32" s="224"/>
      <c r="C32" s="224"/>
      <c r="D32" s="64" t="s">
        <v>247</v>
      </c>
      <c r="E32" s="54" t="s">
        <v>663</v>
      </c>
      <c r="F32" s="9" t="s">
        <v>664</v>
      </c>
      <c r="G32" s="62"/>
      <c r="I32" s="2"/>
    </row>
    <row r="33" spans="1:9" x14ac:dyDescent="0.2">
      <c r="A33" s="225" t="s">
        <v>167</v>
      </c>
      <c r="B33" s="223" t="s">
        <v>665</v>
      </c>
      <c r="C33" s="226" t="s">
        <v>666</v>
      </c>
      <c r="D33" s="64" t="s">
        <v>247</v>
      </c>
      <c r="E33" s="54" t="s">
        <v>667</v>
      </c>
      <c r="F33" s="9" t="s">
        <v>668</v>
      </c>
      <c r="G33" s="62" t="s">
        <v>508</v>
      </c>
      <c r="I33" s="2"/>
    </row>
    <row r="34" spans="1:9" x14ac:dyDescent="0.2">
      <c r="A34" s="225"/>
      <c r="B34" s="224"/>
      <c r="C34" s="224"/>
      <c r="D34" s="64" t="s">
        <v>247</v>
      </c>
      <c r="E34" s="54" t="s">
        <v>669</v>
      </c>
      <c r="F34" s="9" t="s">
        <v>670</v>
      </c>
      <c r="G34" s="62"/>
      <c r="I34" s="2"/>
    </row>
    <row r="35" spans="1:9" x14ac:dyDescent="0.2">
      <c r="A35" s="225"/>
      <c r="B35" s="224"/>
      <c r="C35" s="224"/>
      <c r="D35" s="64" t="s">
        <v>247</v>
      </c>
      <c r="E35" s="54" t="s">
        <v>671</v>
      </c>
      <c r="F35" s="9" t="s">
        <v>672</v>
      </c>
      <c r="G35" s="62" t="s">
        <v>673</v>
      </c>
      <c r="I35" s="2"/>
    </row>
    <row r="36" spans="1:9" x14ac:dyDescent="0.2">
      <c r="A36" s="225"/>
      <c r="B36" s="224"/>
      <c r="C36" s="224"/>
      <c r="D36" s="64" t="s">
        <v>247</v>
      </c>
      <c r="E36" s="54" t="s">
        <v>674</v>
      </c>
      <c r="F36" s="9" t="s">
        <v>675</v>
      </c>
      <c r="G36" s="62"/>
      <c r="I36" s="2"/>
    </row>
    <row r="37" spans="1:9" x14ac:dyDescent="0.2">
      <c r="A37" s="225"/>
      <c r="B37" s="224"/>
      <c r="C37" s="224"/>
      <c r="D37" s="64" t="s">
        <v>247</v>
      </c>
      <c r="E37" s="54" t="s">
        <v>676</v>
      </c>
      <c r="F37" s="9" t="s">
        <v>677</v>
      </c>
      <c r="G37" s="62"/>
      <c r="I37" s="2"/>
    </row>
    <row r="38" spans="1:9" x14ac:dyDescent="0.2">
      <c r="A38" s="225" t="s">
        <v>678</v>
      </c>
      <c r="B38" s="223" t="s">
        <v>679</v>
      </c>
      <c r="C38" s="226" t="s">
        <v>680</v>
      </c>
      <c r="D38" s="64" t="s">
        <v>247</v>
      </c>
      <c r="E38" s="54" t="s">
        <v>681</v>
      </c>
      <c r="F38" s="9" t="s">
        <v>682</v>
      </c>
      <c r="G38" s="62" t="s">
        <v>683</v>
      </c>
      <c r="I38" s="2"/>
    </row>
    <row r="39" spans="1:9" x14ac:dyDescent="0.2">
      <c r="A39" s="225"/>
      <c r="B39" s="223"/>
      <c r="C39" s="226"/>
      <c r="D39" s="64" t="s">
        <v>247</v>
      </c>
      <c r="E39" s="54" t="s">
        <v>684</v>
      </c>
      <c r="F39" s="9" t="s">
        <v>685</v>
      </c>
      <c r="G39" s="62"/>
      <c r="I39" s="2"/>
    </row>
    <row r="40" spans="1:9" x14ac:dyDescent="0.2">
      <c r="A40" s="225"/>
      <c r="B40" s="223"/>
      <c r="C40" s="226"/>
      <c r="D40" s="64" t="s">
        <v>247</v>
      </c>
      <c r="E40" s="54">
        <v>9.3000000000000007</v>
      </c>
      <c r="F40" s="9" t="s">
        <v>686</v>
      </c>
      <c r="G40" s="62"/>
      <c r="I40" s="2"/>
    </row>
    <row r="41" spans="1:9" x14ac:dyDescent="0.2">
      <c r="A41" s="225"/>
      <c r="B41" s="224"/>
      <c r="C41" s="224"/>
      <c r="D41" s="64" t="s">
        <v>247</v>
      </c>
      <c r="E41" s="54">
        <v>9.3000000000000007</v>
      </c>
      <c r="F41" s="9" t="s">
        <v>687</v>
      </c>
      <c r="G41" s="62" t="s">
        <v>688</v>
      </c>
      <c r="I41" s="2"/>
    </row>
    <row r="42" spans="1:9" x14ac:dyDescent="0.2">
      <c r="A42" s="225"/>
      <c r="B42" s="224"/>
      <c r="C42" s="224"/>
      <c r="D42" s="64" t="s">
        <v>247</v>
      </c>
      <c r="E42" s="54">
        <v>9.4</v>
      </c>
      <c r="F42" s="9" t="s">
        <v>689</v>
      </c>
      <c r="G42" s="62" t="s">
        <v>688</v>
      </c>
      <c r="I42" s="2"/>
    </row>
    <row r="43" spans="1:9" x14ac:dyDescent="0.2">
      <c r="A43" s="225"/>
      <c r="B43" s="224"/>
      <c r="C43" s="224"/>
      <c r="D43" s="64" t="s">
        <v>247</v>
      </c>
      <c r="E43" s="54">
        <v>9.5</v>
      </c>
      <c r="F43" s="9" t="s">
        <v>690</v>
      </c>
      <c r="G43" s="62" t="s">
        <v>688</v>
      </c>
      <c r="I43" s="2"/>
    </row>
    <row r="44" spans="1:9" x14ac:dyDescent="0.2">
      <c r="A44" s="225"/>
      <c r="B44" s="224"/>
      <c r="C44" s="224"/>
      <c r="D44" s="63"/>
      <c r="E44" s="54">
        <v>9.6</v>
      </c>
      <c r="F44" s="9" t="s">
        <v>691</v>
      </c>
      <c r="G44" s="62" t="s">
        <v>688</v>
      </c>
      <c r="I44" s="2"/>
    </row>
    <row r="45" spans="1:9" x14ac:dyDescent="0.2">
      <c r="B45" s="21"/>
      <c r="C45" s="21"/>
      <c r="E45" s="10"/>
      <c r="F45" s="17"/>
      <c r="G45" s="17"/>
      <c r="I45" s="2"/>
    </row>
    <row r="47" spans="1:9" x14ac:dyDescent="0.2">
      <c r="E47" s="17"/>
      <c r="F47" s="17"/>
      <c r="G47" s="17"/>
    </row>
    <row r="48" spans="1:9" x14ac:dyDescent="0.2">
      <c r="E48" s="17"/>
      <c r="F48" s="17"/>
      <c r="G48" s="17"/>
    </row>
    <row r="49" spans="5:7" x14ac:dyDescent="0.2">
      <c r="E49" s="17"/>
      <c r="F49" s="17"/>
      <c r="G49" s="17"/>
    </row>
    <row r="50" spans="5:7" x14ac:dyDescent="0.2">
      <c r="E50" s="17"/>
      <c r="F50" s="17"/>
      <c r="G50" s="17"/>
    </row>
    <row r="51" spans="5:7" x14ac:dyDescent="0.2">
      <c r="E51" s="17"/>
      <c r="F51" s="17"/>
      <c r="G51" s="17"/>
    </row>
    <row r="52" spans="5:7" x14ac:dyDescent="0.2">
      <c r="E52" s="17"/>
      <c r="F52" s="17"/>
      <c r="G52" s="17"/>
    </row>
    <row r="53" spans="5:7" x14ac:dyDescent="0.2">
      <c r="E53" s="17"/>
      <c r="F53" s="17"/>
      <c r="G53" s="17"/>
    </row>
    <row r="55" spans="5:7" x14ac:dyDescent="0.2">
      <c r="F55" s="17"/>
      <c r="G55" s="17"/>
    </row>
    <row r="60" spans="5:7" x14ac:dyDescent="0.2">
      <c r="F60" s="17"/>
      <c r="G60" s="17"/>
    </row>
    <row r="62" spans="5:7" x14ac:dyDescent="0.2">
      <c r="F62" s="17"/>
      <c r="G62" s="17"/>
    </row>
    <row r="63" spans="5:7" x14ac:dyDescent="0.2">
      <c r="F63" s="17"/>
      <c r="G63" s="17"/>
    </row>
    <row r="64" spans="5:7" x14ac:dyDescent="0.2">
      <c r="F64" s="17"/>
      <c r="G64" s="17"/>
    </row>
    <row r="65" spans="6:7" x14ac:dyDescent="0.2">
      <c r="F65" s="17"/>
      <c r="G65" s="17"/>
    </row>
    <row r="66" spans="6:7" x14ac:dyDescent="0.2">
      <c r="F66" s="17"/>
      <c r="G66" s="17"/>
    </row>
    <row r="67" spans="6:7" x14ac:dyDescent="0.2">
      <c r="F67" s="17"/>
      <c r="G67" s="17"/>
    </row>
    <row r="68" spans="6:7" x14ac:dyDescent="0.2">
      <c r="F68" s="17"/>
      <c r="G68" s="17"/>
    </row>
    <row r="70" spans="6:7" x14ac:dyDescent="0.2">
      <c r="F70" s="17"/>
      <c r="G70" s="17"/>
    </row>
    <row r="71" spans="6:7" x14ac:dyDescent="0.2">
      <c r="F71" s="17"/>
      <c r="G71" s="17"/>
    </row>
  </sheetData>
  <mergeCells count="31">
    <mergeCell ref="C19:C21"/>
    <mergeCell ref="A22:A24"/>
    <mergeCell ref="B22:B24"/>
    <mergeCell ref="C22:C24"/>
    <mergeCell ref="A25:A27"/>
    <mergeCell ref="B25:B27"/>
    <mergeCell ref="C25:C27"/>
    <mergeCell ref="A38:A44"/>
    <mergeCell ref="B38:B44"/>
    <mergeCell ref="C38:C44"/>
    <mergeCell ref="A28:A30"/>
    <mergeCell ref="B28:B30"/>
    <mergeCell ref="C28:C30"/>
    <mergeCell ref="A31:A32"/>
    <mergeCell ref="B31:B32"/>
    <mergeCell ref="C31:C32"/>
    <mergeCell ref="B5:B9"/>
    <mergeCell ref="A5:A9"/>
    <mergeCell ref="A2:G2"/>
    <mergeCell ref="A33:A37"/>
    <mergeCell ref="B33:B37"/>
    <mergeCell ref="C33:C37"/>
    <mergeCell ref="C5:C9"/>
    <mergeCell ref="A19:A21"/>
    <mergeCell ref="B19:B21"/>
    <mergeCell ref="A10:A15"/>
    <mergeCell ref="B10:B15"/>
    <mergeCell ref="C10:C15"/>
    <mergeCell ref="A16:A18"/>
    <mergeCell ref="B16:B18"/>
    <mergeCell ref="C16:C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59996337778862885"/>
  </sheetPr>
  <dimension ref="A1:E31"/>
  <sheetViews>
    <sheetView showGridLines="0" workbookViewId="0">
      <selection sqref="A1:C31"/>
    </sheetView>
  </sheetViews>
  <sheetFormatPr baseColWidth="10" defaultColWidth="8.6640625" defaultRowHeight="15" x14ac:dyDescent="0.2"/>
  <cols>
    <col min="1" max="1" width="8" customWidth="1"/>
    <col min="2" max="2" width="28" customWidth="1"/>
    <col min="3" max="3" width="86" customWidth="1"/>
  </cols>
  <sheetData>
    <row r="1" spans="1:5" ht="25.5" customHeight="1" x14ac:dyDescent="0.2">
      <c r="A1" s="227" t="s">
        <v>692</v>
      </c>
      <c r="B1" s="227"/>
      <c r="C1" s="227"/>
    </row>
    <row r="2" spans="1:5" ht="19.5" customHeight="1" x14ac:dyDescent="0.2">
      <c r="A2" s="229" t="s">
        <v>693</v>
      </c>
      <c r="B2" s="229"/>
      <c r="C2" s="229"/>
    </row>
    <row r="3" spans="1:5" ht="44" customHeight="1" x14ac:dyDescent="0.2">
      <c r="A3" s="228" t="s">
        <v>694</v>
      </c>
      <c r="B3" s="228"/>
      <c r="C3" s="228"/>
    </row>
    <row r="4" spans="1:5" ht="284" x14ac:dyDescent="0.2">
      <c r="A4" s="80" t="s">
        <v>411</v>
      </c>
      <c r="B4" s="81" t="s">
        <v>695</v>
      </c>
      <c r="C4" s="9" t="s">
        <v>696</v>
      </c>
    </row>
    <row r="5" spans="1:5" ht="308" x14ac:dyDescent="0.2">
      <c r="A5" s="80" t="s">
        <v>443</v>
      </c>
      <c r="B5" s="81" t="s">
        <v>697</v>
      </c>
      <c r="C5" s="9" t="s">
        <v>698</v>
      </c>
    </row>
    <row r="6" spans="1:5" ht="392" x14ac:dyDescent="0.2">
      <c r="A6" s="80" t="s">
        <v>430</v>
      </c>
      <c r="B6" s="81" t="s">
        <v>699</v>
      </c>
      <c r="C6" s="9" t="s">
        <v>700</v>
      </c>
    </row>
    <row r="7" spans="1:5" ht="260" x14ac:dyDescent="0.2">
      <c r="A7" s="80" t="s">
        <v>430</v>
      </c>
      <c r="B7" s="81" t="s">
        <v>701</v>
      </c>
      <c r="C7" s="9" t="s">
        <v>702</v>
      </c>
    </row>
    <row r="8" spans="1:5" ht="19.5" customHeight="1" x14ac:dyDescent="0.2">
      <c r="A8" s="229" t="s">
        <v>703</v>
      </c>
      <c r="B8" s="229"/>
      <c r="C8" s="229"/>
    </row>
    <row r="9" spans="1:5" ht="47" customHeight="1" x14ac:dyDescent="0.2">
      <c r="A9" s="228" t="s">
        <v>704</v>
      </c>
      <c r="B9" s="228"/>
      <c r="C9" s="228"/>
      <c r="E9" s="1"/>
    </row>
    <row r="10" spans="1:5" ht="169" x14ac:dyDescent="0.2">
      <c r="A10" s="80" t="s">
        <v>459</v>
      </c>
      <c r="B10" s="81" t="s">
        <v>705</v>
      </c>
      <c r="C10" s="9" t="s">
        <v>706</v>
      </c>
    </row>
    <row r="11" spans="1:5" ht="221" x14ac:dyDescent="0.2">
      <c r="A11" s="80" t="s">
        <v>469</v>
      </c>
      <c r="B11" s="81" t="s">
        <v>707</v>
      </c>
      <c r="C11" s="9" t="s">
        <v>708</v>
      </c>
    </row>
    <row r="12" spans="1:5" ht="19.5" customHeight="1" x14ac:dyDescent="0.2">
      <c r="A12" s="229" t="s">
        <v>709</v>
      </c>
      <c r="B12" s="229"/>
      <c r="C12" s="229"/>
    </row>
    <row r="13" spans="1:5" ht="60" customHeight="1" x14ac:dyDescent="0.2">
      <c r="A13" s="230" t="s">
        <v>1259</v>
      </c>
      <c r="B13" s="228"/>
      <c r="C13" s="228"/>
    </row>
    <row r="14" spans="1:5" ht="143" x14ac:dyDescent="0.2">
      <c r="A14" s="80" t="s">
        <v>473</v>
      </c>
      <c r="B14" s="81" t="s">
        <v>710</v>
      </c>
      <c r="C14" s="9"/>
      <c r="D14" s="1"/>
    </row>
    <row r="15" spans="1:5" ht="52" x14ac:dyDescent="0.2">
      <c r="A15" s="80" t="s">
        <v>473</v>
      </c>
      <c r="B15" s="81" t="s">
        <v>711</v>
      </c>
      <c r="C15" s="9" t="s">
        <v>1260</v>
      </c>
      <c r="D15" s="1"/>
    </row>
    <row r="16" spans="1:5" ht="69.75" customHeight="1" x14ac:dyDescent="0.2">
      <c r="A16" s="80" t="s">
        <v>486</v>
      </c>
      <c r="B16" s="81" t="s">
        <v>712</v>
      </c>
      <c r="C16" s="9" t="s">
        <v>1261</v>
      </c>
    </row>
    <row r="17" spans="1:3" ht="55.5" customHeight="1" x14ac:dyDescent="0.2">
      <c r="A17" s="80" t="s">
        <v>713</v>
      </c>
      <c r="B17" s="81" t="s">
        <v>714</v>
      </c>
      <c r="C17" s="9" t="s">
        <v>1262</v>
      </c>
    </row>
    <row r="18" spans="1:3" ht="39" x14ac:dyDescent="0.2">
      <c r="A18" s="80" t="s">
        <v>715</v>
      </c>
      <c r="B18" s="81" t="s">
        <v>716</v>
      </c>
      <c r="C18" s="9" t="s">
        <v>1263</v>
      </c>
    </row>
    <row r="19" spans="1:3" ht="55.5" customHeight="1" x14ac:dyDescent="0.2">
      <c r="A19" s="80" t="s">
        <v>717</v>
      </c>
      <c r="B19" s="81" t="s">
        <v>718</v>
      </c>
      <c r="C19" s="9" t="s">
        <v>719</v>
      </c>
    </row>
    <row r="20" spans="1:3" ht="19.5" customHeight="1" x14ac:dyDescent="0.2">
      <c r="A20" s="229" t="s">
        <v>720</v>
      </c>
      <c r="B20" s="229"/>
      <c r="C20" s="229"/>
    </row>
    <row r="21" spans="1:3" ht="45" customHeight="1" x14ac:dyDescent="0.2">
      <c r="A21" s="230" t="s">
        <v>1264</v>
      </c>
      <c r="B21" s="228"/>
      <c r="C21" s="228"/>
    </row>
    <row r="22" spans="1:3" ht="39" x14ac:dyDescent="0.2">
      <c r="A22" s="80" t="s">
        <v>492</v>
      </c>
      <c r="B22" s="81" t="s">
        <v>721</v>
      </c>
      <c r="C22" s="9" t="s">
        <v>1265</v>
      </c>
    </row>
    <row r="23" spans="1:3" ht="69.75" customHeight="1" x14ac:dyDescent="0.2">
      <c r="A23" s="80" t="s">
        <v>497</v>
      </c>
      <c r="B23" s="81" t="s">
        <v>722</v>
      </c>
      <c r="C23" s="9" t="s">
        <v>723</v>
      </c>
    </row>
    <row r="24" spans="1:3" ht="65" x14ac:dyDescent="0.2">
      <c r="A24" s="80" t="s">
        <v>501</v>
      </c>
      <c r="B24" s="81" t="s">
        <v>724</v>
      </c>
      <c r="C24" s="9" t="s">
        <v>725</v>
      </c>
    </row>
    <row r="25" spans="1:3" ht="65" x14ac:dyDescent="0.2">
      <c r="A25" s="80" t="s">
        <v>726</v>
      </c>
      <c r="B25" s="177" t="s">
        <v>1266</v>
      </c>
      <c r="C25" s="9" t="s">
        <v>1267</v>
      </c>
    </row>
    <row r="26" spans="1:3" ht="221" x14ac:dyDescent="0.2">
      <c r="A26" s="80" t="s">
        <v>504</v>
      </c>
      <c r="B26" s="81" t="s">
        <v>727</v>
      </c>
      <c r="C26" s="9" t="s">
        <v>728</v>
      </c>
    </row>
    <row r="27" spans="1:3" ht="91" x14ac:dyDescent="0.2">
      <c r="A27" s="80" t="s">
        <v>524</v>
      </c>
      <c r="B27" s="81" t="s">
        <v>729</v>
      </c>
      <c r="C27" s="9" t="s">
        <v>730</v>
      </c>
    </row>
    <row r="28" spans="1:3" ht="19.5" customHeight="1" x14ac:dyDescent="0.2">
      <c r="A28" s="229" t="s">
        <v>731</v>
      </c>
      <c r="B28" s="229"/>
      <c r="C28" s="229"/>
    </row>
    <row r="29" spans="1:3" ht="45.75" customHeight="1" x14ac:dyDescent="0.2">
      <c r="A29" s="228" t="s">
        <v>732</v>
      </c>
      <c r="B29" s="228"/>
      <c r="C29" s="228"/>
    </row>
    <row r="30" spans="1:3" ht="55.5" customHeight="1" x14ac:dyDescent="0.2">
      <c r="A30" s="80" t="s">
        <v>733</v>
      </c>
      <c r="B30" s="81" t="s">
        <v>734</v>
      </c>
      <c r="C30" s="9" t="s">
        <v>735</v>
      </c>
    </row>
    <row r="31" spans="1:3" ht="91" x14ac:dyDescent="0.2">
      <c r="A31" s="80" t="s">
        <v>736</v>
      </c>
      <c r="B31" s="81" t="s">
        <v>737</v>
      </c>
      <c r="C31" s="9" t="s">
        <v>738</v>
      </c>
    </row>
  </sheetData>
  <mergeCells count="11">
    <mergeCell ref="A1:C1"/>
    <mergeCell ref="A29:C29"/>
    <mergeCell ref="A2:C2"/>
    <mergeCell ref="A8:C8"/>
    <mergeCell ref="A12:C12"/>
    <mergeCell ref="A13:C13"/>
    <mergeCell ref="A20:C20"/>
    <mergeCell ref="A21:C21"/>
    <mergeCell ref="A3:C3"/>
    <mergeCell ref="A9:C9"/>
    <mergeCell ref="A28:C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62"/>
  <sheetViews>
    <sheetView showGridLines="0" zoomScale="150" workbookViewId="0">
      <selection activeCell="D6" sqref="D6"/>
    </sheetView>
  </sheetViews>
  <sheetFormatPr baseColWidth="10" defaultColWidth="8.6640625" defaultRowHeight="15" x14ac:dyDescent="0.2"/>
  <cols>
    <col min="1" max="1" width="7" style="23" customWidth="1"/>
    <col min="2" max="2" width="34" style="23" customWidth="1"/>
    <col min="3" max="3" width="16" style="23" customWidth="1"/>
    <col min="4" max="5" width="14" style="23" customWidth="1"/>
    <col min="6" max="16384" width="8.6640625" style="23"/>
  </cols>
  <sheetData>
    <row r="1" spans="1:5" ht="25.5" customHeight="1" x14ac:dyDescent="0.2">
      <c r="A1" s="232" t="s">
        <v>739</v>
      </c>
      <c r="B1" s="232"/>
      <c r="C1" s="232"/>
      <c r="D1" s="232"/>
      <c r="E1" s="232"/>
    </row>
    <row r="2" spans="1:5" x14ac:dyDescent="0.2">
      <c r="A2" s="158" t="s">
        <v>740</v>
      </c>
    </row>
    <row r="4" spans="1:5" x14ac:dyDescent="0.2">
      <c r="A4" s="233" t="s">
        <v>741</v>
      </c>
      <c r="B4" s="233"/>
      <c r="C4" s="233"/>
      <c r="D4" s="233"/>
      <c r="E4" s="233"/>
    </row>
    <row r="5" spans="1:5" x14ac:dyDescent="0.2">
      <c r="A5" s="157" t="s">
        <v>257</v>
      </c>
      <c r="B5" s="157" t="s">
        <v>318</v>
      </c>
      <c r="C5" s="157" t="s">
        <v>742</v>
      </c>
      <c r="D5" s="157" t="s">
        <v>743</v>
      </c>
      <c r="E5" s="157" t="s">
        <v>744</v>
      </c>
    </row>
    <row r="6" spans="1:5" x14ac:dyDescent="0.2">
      <c r="A6" s="156">
        <v>1</v>
      </c>
      <c r="B6" s="155" t="s">
        <v>126</v>
      </c>
      <c r="C6" s="154">
        <v>372.63400000000001</v>
      </c>
      <c r="D6" s="153">
        <f>C6/C18</f>
        <v>0.31040805021387546</v>
      </c>
      <c r="E6" s="153">
        <f>SUM($C$6:C6)/C18</f>
        <v>0.31040805021387546</v>
      </c>
    </row>
    <row r="7" spans="1:5" x14ac:dyDescent="0.2">
      <c r="A7" s="152">
        <v>2</v>
      </c>
      <c r="B7" s="151" t="s">
        <v>125</v>
      </c>
      <c r="C7" s="150">
        <v>279.53199999999998</v>
      </c>
      <c r="D7" s="149">
        <f>C7/C18</f>
        <v>0.23285310275601537</v>
      </c>
      <c r="E7" s="149">
        <f>SUM($C$6:C7)/C18</f>
        <v>0.54326115296989086</v>
      </c>
    </row>
    <row r="8" spans="1:5" x14ac:dyDescent="0.2">
      <c r="A8" s="156">
        <v>3</v>
      </c>
      <c r="B8" s="155" t="s">
        <v>122</v>
      </c>
      <c r="C8" s="154">
        <v>109.988</v>
      </c>
      <c r="D8" s="153">
        <f>C8/C18</f>
        <v>9.1621163465823663E-2</v>
      </c>
      <c r="E8" s="153">
        <f>SUM($C$6:C8)/C18</f>
        <v>0.63488231643571458</v>
      </c>
    </row>
    <row r="9" spans="1:5" x14ac:dyDescent="0.2">
      <c r="A9" s="152">
        <v>4</v>
      </c>
      <c r="B9" s="151" t="s">
        <v>134</v>
      </c>
      <c r="C9" s="150">
        <v>53.656999999999996</v>
      </c>
      <c r="D9" s="149">
        <f>C9/C18</f>
        <v>4.4696846638594211E-2</v>
      </c>
      <c r="E9" s="149">
        <f>SUM($C$6:C9)/C18</f>
        <v>0.67957916307430877</v>
      </c>
    </row>
    <row r="10" spans="1:5" x14ac:dyDescent="0.2">
      <c r="A10" s="156">
        <v>5</v>
      </c>
      <c r="B10" s="155" t="s">
        <v>124</v>
      </c>
      <c r="C10" s="154">
        <v>34.716999999999999</v>
      </c>
      <c r="D10" s="153">
        <f>C10/C18</f>
        <v>2.8919626977879406E-2</v>
      </c>
      <c r="E10" s="153">
        <f>SUM($C$6:C10)/C18</f>
        <v>0.70849879005218819</v>
      </c>
    </row>
    <row r="11" spans="1:5" x14ac:dyDescent="0.2">
      <c r="A11" s="152">
        <v>6</v>
      </c>
      <c r="B11" s="151" t="s">
        <v>132</v>
      </c>
      <c r="C11" s="150">
        <v>33.109000000000002</v>
      </c>
      <c r="D11" s="149">
        <f>C11/C18</f>
        <v>2.7580146026747972E-2</v>
      </c>
      <c r="E11" s="149">
        <f>SUM($C$6:C11)/C18</f>
        <v>0.73607893607893615</v>
      </c>
    </row>
    <row r="12" spans="1:5" x14ac:dyDescent="0.2">
      <c r="A12" s="156">
        <v>7</v>
      </c>
      <c r="B12" s="155" t="s">
        <v>745</v>
      </c>
      <c r="C12" s="154">
        <v>27.202000000000002</v>
      </c>
      <c r="D12" s="153">
        <f>C12/C18</f>
        <v>2.2659552756640139E-2</v>
      </c>
      <c r="E12" s="153">
        <f>SUM($C$6:C12)/C18</f>
        <v>0.75873848883557626</v>
      </c>
    </row>
    <row r="13" spans="1:5" x14ac:dyDescent="0.2">
      <c r="A13" s="152">
        <v>8</v>
      </c>
      <c r="B13" s="151" t="s">
        <v>746</v>
      </c>
      <c r="C13" s="150">
        <v>16.071999999999999</v>
      </c>
      <c r="D13" s="149">
        <f>C13/C18</f>
        <v>1.3388145426980379E-2</v>
      </c>
      <c r="E13" s="149">
        <f>SUM($C$6:C13)/C18</f>
        <v>0.77212663426255668</v>
      </c>
    </row>
    <row r="14" spans="1:5" x14ac:dyDescent="0.2">
      <c r="A14" s="156">
        <v>9</v>
      </c>
      <c r="B14" s="155" t="s">
        <v>129</v>
      </c>
      <c r="C14" s="154">
        <v>15.367000000000001</v>
      </c>
      <c r="D14" s="153">
        <f>C14/C18</f>
        <v>1.2800872995047754E-2</v>
      </c>
      <c r="E14" s="153">
        <f>SUM($C$6:C14)/C18</f>
        <v>0.78492750725760441</v>
      </c>
    </row>
    <row r="15" spans="1:5" x14ac:dyDescent="0.2">
      <c r="A15" s="152">
        <v>10</v>
      </c>
      <c r="B15" s="151" t="s">
        <v>747</v>
      </c>
      <c r="C15" s="150">
        <v>14.906000000000001</v>
      </c>
      <c r="D15" s="149">
        <f>C15/C18</f>
        <v>1.2416855135301738E-2</v>
      </c>
      <c r="E15" s="149">
        <f>SUM($C$6:C15)/C18</f>
        <v>0.79734436239290607</v>
      </c>
    </row>
    <row r="16" spans="1:5" x14ac:dyDescent="0.2">
      <c r="A16" s="148"/>
      <c r="B16" s="147" t="s">
        <v>130</v>
      </c>
      <c r="C16" s="146">
        <f>SUM(C6:C15)</f>
        <v>957.18399999999997</v>
      </c>
      <c r="D16" s="145">
        <f>SUM(D6:D15)</f>
        <v>0.79734436239290607</v>
      </c>
      <c r="E16" s="145"/>
    </row>
    <row r="17" spans="1:5" x14ac:dyDescent="0.2">
      <c r="A17" s="144"/>
      <c r="B17" s="143" t="s">
        <v>748</v>
      </c>
      <c r="C17" s="142">
        <f>C18-SUM(C6:C15)</f>
        <v>243.28099999999995</v>
      </c>
      <c r="D17" s="141">
        <f>C17/C18</f>
        <v>0.2026556376070939</v>
      </c>
      <c r="E17" s="141">
        <f>1</f>
        <v>1</v>
      </c>
    </row>
    <row r="18" spans="1:5" x14ac:dyDescent="0.2">
      <c r="A18" s="137"/>
      <c r="B18" s="140" t="s">
        <v>749</v>
      </c>
      <c r="C18" s="139">
        <v>1200.4649999999999</v>
      </c>
      <c r="D18" s="138">
        <f>1</f>
        <v>1</v>
      </c>
      <c r="E18" s="137"/>
    </row>
    <row r="20" spans="1:5" x14ac:dyDescent="0.2">
      <c r="A20" s="233" t="s">
        <v>750</v>
      </c>
      <c r="B20" s="233"/>
      <c r="C20" s="233"/>
      <c r="D20" s="233"/>
      <c r="E20" s="233"/>
    </row>
    <row r="21" spans="1:5" x14ac:dyDescent="0.2">
      <c r="A21" s="157" t="s">
        <v>257</v>
      </c>
      <c r="B21" s="157" t="s">
        <v>318</v>
      </c>
      <c r="C21" s="157" t="s">
        <v>742</v>
      </c>
      <c r="D21" s="157" t="s">
        <v>743</v>
      </c>
      <c r="E21" s="157" t="s">
        <v>744</v>
      </c>
    </row>
    <row r="22" spans="1:5" x14ac:dyDescent="0.2">
      <c r="A22" s="156">
        <v>1</v>
      </c>
      <c r="B22" s="155" t="s">
        <v>125</v>
      </c>
      <c r="C22" s="154">
        <v>209.31399999999999</v>
      </c>
      <c r="D22" s="153">
        <f>C22/C34</f>
        <v>0.26497153613714303</v>
      </c>
      <c r="E22" s="153">
        <f>SUM($C$22:C22)/C34</f>
        <v>0.26497153613714303</v>
      </c>
    </row>
    <row r="23" spans="1:5" x14ac:dyDescent="0.2">
      <c r="A23" s="152">
        <v>2</v>
      </c>
      <c r="B23" s="151" t="s">
        <v>124</v>
      </c>
      <c r="C23" s="150">
        <v>198.82300000000001</v>
      </c>
      <c r="D23" s="149">
        <f>C23/C34</f>
        <v>0.25169093194623959</v>
      </c>
      <c r="E23" s="149">
        <f>SUM($C$22:C23)/C34</f>
        <v>0.51666246808338268</v>
      </c>
    </row>
    <row r="24" spans="1:5" x14ac:dyDescent="0.2">
      <c r="A24" s="156">
        <v>3</v>
      </c>
      <c r="B24" s="155" t="s">
        <v>751</v>
      </c>
      <c r="C24" s="154">
        <v>58.383000000000003</v>
      </c>
      <c r="D24" s="153">
        <f>C24/C34</f>
        <v>7.3907302876514827E-2</v>
      </c>
      <c r="E24" s="153">
        <f>SUM($C$22:C24)/C34</f>
        <v>0.59056977095989738</v>
      </c>
    </row>
    <row r="25" spans="1:5" x14ac:dyDescent="0.2">
      <c r="A25" s="152">
        <v>4</v>
      </c>
      <c r="B25" s="151" t="s">
        <v>747</v>
      </c>
      <c r="C25" s="150">
        <v>54.381999999999998</v>
      </c>
      <c r="D25" s="149">
        <f>C25/C34</f>
        <v>6.884241894096961E-2</v>
      </c>
      <c r="E25" s="149">
        <f>SUM($C$22:C25)/C34</f>
        <v>0.65941218990086692</v>
      </c>
    </row>
    <row r="26" spans="1:5" x14ac:dyDescent="0.2">
      <c r="A26" s="156">
        <v>5</v>
      </c>
      <c r="B26" s="155" t="s">
        <v>752</v>
      </c>
      <c r="C26" s="154">
        <v>43.337000000000003</v>
      </c>
      <c r="D26" s="153">
        <f>C26/C34</f>
        <v>5.4860503652767463E-2</v>
      </c>
      <c r="E26" s="153">
        <f>SUM($C$22:C26)/C34</f>
        <v>0.71427269355363443</v>
      </c>
    </row>
    <row r="27" spans="1:5" x14ac:dyDescent="0.2">
      <c r="A27" s="152">
        <v>6</v>
      </c>
      <c r="B27" s="151" t="s">
        <v>131</v>
      </c>
      <c r="C27" s="150">
        <v>32.951000000000001</v>
      </c>
      <c r="D27" s="149">
        <f>C27/C34</f>
        <v>4.1712819435178732E-2</v>
      </c>
      <c r="E27" s="149">
        <f>SUM($C$22:C27)/C34</f>
        <v>0.75598551298881322</v>
      </c>
    </row>
    <row r="28" spans="1:5" x14ac:dyDescent="0.2">
      <c r="A28" s="156">
        <v>7</v>
      </c>
      <c r="B28" s="155" t="s">
        <v>753</v>
      </c>
      <c r="C28" s="154">
        <v>27.024000000000001</v>
      </c>
      <c r="D28" s="153">
        <f>C28/C34</f>
        <v>3.4209803417688991E-2</v>
      </c>
      <c r="E28" s="153">
        <f>SUM($C$22:C28)/C34</f>
        <v>0.7901953164065022</v>
      </c>
    </row>
    <row r="29" spans="1:5" x14ac:dyDescent="0.2">
      <c r="A29" s="152">
        <v>8</v>
      </c>
      <c r="B29" s="151" t="s">
        <v>754</v>
      </c>
      <c r="C29" s="150">
        <v>19.925000000000001</v>
      </c>
      <c r="D29" s="149">
        <f>C29/C34</f>
        <v>2.5223147317105284E-2</v>
      </c>
      <c r="E29" s="149">
        <f>SUM($C$22:C29)/C34</f>
        <v>0.81541846372360738</v>
      </c>
    </row>
    <row r="30" spans="1:5" x14ac:dyDescent="0.2">
      <c r="A30" s="156">
        <v>9</v>
      </c>
      <c r="B30" s="155" t="s">
        <v>128</v>
      </c>
      <c r="C30" s="154">
        <v>13.252000000000001</v>
      </c>
      <c r="D30" s="153">
        <f>C30/C34</f>
        <v>1.6775766536827063E-2</v>
      </c>
      <c r="E30" s="153">
        <f>SUM($C$22:C30)/C34</f>
        <v>0.83219423026043438</v>
      </c>
    </row>
    <row r="31" spans="1:5" x14ac:dyDescent="0.2">
      <c r="A31" s="152">
        <v>10</v>
      </c>
      <c r="B31" s="151" t="s">
        <v>755</v>
      </c>
      <c r="C31" s="150">
        <v>12.414999999999999</v>
      </c>
      <c r="D31" s="149">
        <f>C31/C34</f>
        <v>1.5716204463832473E-2</v>
      </c>
      <c r="E31" s="149">
        <f>SUM($C$22:C31)/C34</f>
        <v>0.84791043472426686</v>
      </c>
    </row>
    <row r="32" spans="1:5" x14ac:dyDescent="0.2">
      <c r="A32" s="148"/>
      <c r="B32" s="147" t="s">
        <v>130</v>
      </c>
      <c r="C32" s="146">
        <f>SUM(C22:C31)</f>
        <v>669.80599999999981</v>
      </c>
      <c r="D32" s="145">
        <f>SUM(D22:D31)</f>
        <v>0.84791043472426719</v>
      </c>
      <c r="E32" s="145"/>
    </row>
    <row r="33" spans="1:5" x14ac:dyDescent="0.2">
      <c r="A33" s="144"/>
      <c r="B33" s="143" t="s">
        <v>756</v>
      </c>
      <c r="C33" s="142">
        <f>C34-SUM(C22:C31)</f>
        <v>120.14300000000014</v>
      </c>
      <c r="D33" s="141">
        <f>C33/C34</f>
        <v>0.15208956527573317</v>
      </c>
      <c r="E33" s="141">
        <f>1</f>
        <v>1</v>
      </c>
    </row>
    <row r="34" spans="1:5" x14ac:dyDescent="0.2">
      <c r="A34" s="137"/>
      <c r="B34" s="140" t="s">
        <v>749</v>
      </c>
      <c r="C34" s="139">
        <v>789.94899999999996</v>
      </c>
      <c r="D34" s="138">
        <f>1</f>
        <v>1</v>
      </c>
      <c r="E34" s="137"/>
    </row>
    <row r="36" spans="1:5" x14ac:dyDescent="0.2">
      <c r="A36" s="231" t="s">
        <v>757</v>
      </c>
      <c r="B36" s="231"/>
      <c r="C36" s="231"/>
      <c r="D36" s="231"/>
      <c r="E36" s="231"/>
    </row>
    <row r="37" spans="1:5" x14ac:dyDescent="0.2">
      <c r="A37" s="157" t="s">
        <v>257</v>
      </c>
      <c r="B37" s="157" t="s">
        <v>318</v>
      </c>
      <c r="C37" s="157" t="s">
        <v>742</v>
      </c>
      <c r="D37" s="157" t="s">
        <v>743</v>
      </c>
      <c r="E37" s="157" t="s">
        <v>744</v>
      </c>
    </row>
    <row r="38" spans="1:5" x14ac:dyDescent="0.2">
      <c r="A38" s="156">
        <v>1</v>
      </c>
      <c r="B38" s="155" t="s">
        <v>125</v>
      </c>
      <c r="C38" s="154">
        <v>137.08500000000001</v>
      </c>
      <c r="D38" s="153">
        <f>C38/C50</f>
        <v>0.17238582433584584</v>
      </c>
      <c r="E38" s="153">
        <f>SUM($C$38:C38)/C50</f>
        <v>0.17238582433584584</v>
      </c>
    </row>
    <row r="39" spans="1:5" x14ac:dyDescent="0.2">
      <c r="A39" s="152">
        <v>2</v>
      </c>
      <c r="B39" s="151" t="s">
        <v>124</v>
      </c>
      <c r="C39" s="150">
        <v>109.294</v>
      </c>
      <c r="D39" s="149">
        <f>C39/C50</f>
        <v>0.13743835054865183</v>
      </c>
      <c r="E39" s="149">
        <f>SUM($C$38:C39)/C50</f>
        <v>0.30982417488449771</v>
      </c>
    </row>
    <row r="40" spans="1:5" x14ac:dyDescent="0.2">
      <c r="A40" s="156">
        <v>3</v>
      </c>
      <c r="B40" s="155" t="s">
        <v>129</v>
      </c>
      <c r="C40" s="154">
        <v>91.022000000000006</v>
      </c>
      <c r="D40" s="153">
        <f>C40/C50</f>
        <v>0.11446111903342715</v>
      </c>
      <c r="E40" s="153">
        <f>SUM($C$38:C40)/C50</f>
        <v>0.42428529391792486</v>
      </c>
    </row>
    <row r="41" spans="1:5" x14ac:dyDescent="0.2">
      <c r="A41" s="152">
        <v>4</v>
      </c>
      <c r="B41" s="151" t="s">
        <v>126</v>
      </c>
      <c r="C41" s="150">
        <v>46.338000000000001</v>
      </c>
      <c r="D41" s="149">
        <f>C41/C50</f>
        <v>5.8270520684789912E-2</v>
      </c>
      <c r="E41" s="149">
        <f>SUM($C$38:C41)/C50</f>
        <v>0.48255581460271479</v>
      </c>
    </row>
    <row r="42" spans="1:5" x14ac:dyDescent="0.2">
      <c r="A42" s="156">
        <v>5</v>
      </c>
      <c r="B42" s="155" t="s">
        <v>758</v>
      </c>
      <c r="C42" s="154">
        <v>35.728999999999999</v>
      </c>
      <c r="D42" s="153">
        <f>C42/C50</f>
        <v>4.492959198814922E-2</v>
      </c>
      <c r="E42" s="153">
        <f>SUM($C$38:C42)/C50</f>
        <v>0.52748540659086396</v>
      </c>
    </row>
    <row r="43" spans="1:5" x14ac:dyDescent="0.2">
      <c r="A43" s="152">
        <v>6</v>
      </c>
      <c r="B43" s="151" t="s">
        <v>759</v>
      </c>
      <c r="C43" s="150">
        <v>35.155000000000001</v>
      </c>
      <c r="D43" s="149">
        <f>C43/C50</f>
        <v>4.4207780971854405E-2</v>
      </c>
      <c r="E43" s="149">
        <f>SUM($C$38:C43)/C50</f>
        <v>0.57169318756271836</v>
      </c>
    </row>
    <row r="44" spans="1:5" x14ac:dyDescent="0.2">
      <c r="A44" s="156">
        <v>7</v>
      </c>
      <c r="B44" s="155" t="s">
        <v>760</v>
      </c>
      <c r="C44" s="154">
        <v>30.236000000000001</v>
      </c>
      <c r="D44" s="153">
        <f>C44/C50</f>
        <v>3.8022086914094429E-2</v>
      </c>
      <c r="E44" s="153">
        <f>SUM($C$38:C44)/C50</f>
        <v>0.60971527447681284</v>
      </c>
    </row>
    <row r="45" spans="1:5" x14ac:dyDescent="0.2">
      <c r="A45" s="152">
        <v>8</v>
      </c>
      <c r="B45" s="151" t="s">
        <v>128</v>
      </c>
      <c r="C45" s="150">
        <v>27.277999999999999</v>
      </c>
      <c r="D45" s="149">
        <f>C45/C50</f>
        <v>3.4302370910261538E-2</v>
      </c>
      <c r="E45" s="149">
        <f>SUM($C$38:C45)/C50</f>
        <v>0.6440176453870744</v>
      </c>
    </row>
    <row r="46" spans="1:5" x14ac:dyDescent="0.2">
      <c r="A46" s="156">
        <v>9</v>
      </c>
      <c r="B46" s="155" t="s">
        <v>132</v>
      </c>
      <c r="C46" s="154">
        <v>24.846</v>
      </c>
      <c r="D46" s="153">
        <f>C46/C50</f>
        <v>3.1244105419618674E-2</v>
      </c>
      <c r="E46" s="153">
        <f>SUM($C$38:C46)/C50</f>
        <v>0.67526175080669304</v>
      </c>
    </row>
    <row r="47" spans="1:5" x14ac:dyDescent="0.2">
      <c r="A47" s="152">
        <v>10</v>
      </c>
      <c r="B47" s="151" t="s">
        <v>761</v>
      </c>
      <c r="C47" s="150">
        <v>21.861000000000001</v>
      </c>
      <c r="D47" s="149">
        <f>C47/C50</f>
        <v>2.7490436632789335E-2</v>
      </c>
      <c r="E47" s="149">
        <f>SUM($C$38:C47)/C50</f>
        <v>0.70275218743948242</v>
      </c>
    </row>
    <row r="48" spans="1:5" x14ac:dyDescent="0.2">
      <c r="A48" s="148"/>
      <c r="B48" s="147" t="s">
        <v>130</v>
      </c>
      <c r="C48" s="146">
        <f>SUM(C38:C47)</f>
        <v>558.84400000000005</v>
      </c>
      <c r="D48" s="145">
        <f>SUM(D38:D47)</f>
        <v>0.70275218743948231</v>
      </c>
      <c r="E48" s="145"/>
    </row>
    <row r="49" spans="1:5" x14ac:dyDescent="0.2">
      <c r="A49" s="144"/>
      <c r="B49" s="143" t="s">
        <v>762</v>
      </c>
      <c r="C49" s="142">
        <f>C50-SUM(C38:C47)</f>
        <v>236.37799999999993</v>
      </c>
      <c r="D49" s="141">
        <f>C49/C50</f>
        <v>0.29724781256051763</v>
      </c>
      <c r="E49" s="141">
        <f>1</f>
        <v>1</v>
      </c>
    </row>
    <row r="50" spans="1:5" x14ac:dyDescent="0.2">
      <c r="A50" s="137"/>
      <c r="B50" s="140" t="s">
        <v>749</v>
      </c>
      <c r="C50" s="139">
        <v>795.22199999999998</v>
      </c>
      <c r="D50" s="138">
        <f>1</f>
        <v>1</v>
      </c>
      <c r="E50" s="137"/>
    </row>
    <row r="52" spans="1:5" x14ac:dyDescent="0.2">
      <c r="A52" s="231" t="s">
        <v>763</v>
      </c>
      <c r="B52" s="231"/>
      <c r="C52" s="231"/>
      <c r="D52" s="231"/>
      <c r="E52" s="231"/>
    </row>
    <row r="53" spans="1:5" x14ac:dyDescent="0.2">
      <c r="A53" s="157" t="s">
        <v>257</v>
      </c>
      <c r="B53" s="157" t="s">
        <v>318</v>
      </c>
      <c r="C53" s="157" t="s">
        <v>742</v>
      </c>
      <c r="D53" s="157" t="s">
        <v>743</v>
      </c>
      <c r="E53" s="157" t="s">
        <v>744</v>
      </c>
    </row>
    <row r="54" spans="1:5" x14ac:dyDescent="0.2">
      <c r="A54" s="156">
        <v>1</v>
      </c>
      <c r="B54" s="155" t="s">
        <v>122</v>
      </c>
      <c r="C54" s="154">
        <v>136.078</v>
      </c>
      <c r="D54" s="153">
        <f>C54/C66</f>
        <v>0.37121259653497085</v>
      </c>
      <c r="E54" s="153">
        <f>SUM($C$54:C54)/C66</f>
        <v>0.37121259653497085</v>
      </c>
    </row>
    <row r="55" spans="1:5" x14ac:dyDescent="0.2">
      <c r="A55" s="152">
        <v>2</v>
      </c>
      <c r="B55" s="151" t="s">
        <v>126</v>
      </c>
      <c r="C55" s="150">
        <v>116.999</v>
      </c>
      <c r="D55" s="149">
        <f>C55/C66</f>
        <v>0.31916623246957665</v>
      </c>
      <c r="E55" s="149">
        <f>SUM($C$54:C55)/C66</f>
        <v>0.6903788290045475</v>
      </c>
    </row>
    <row r="56" spans="1:5" x14ac:dyDescent="0.2">
      <c r="A56" s="156">
        <v>3</v>
      </c>
      <c r="B56" s="155" t="s">
        <v>134</v>
      </c>
      <c r="C56" s="154">
        <v>38.375</v>
      </c>
      <c r="D56" s="153">
        <f>C56/C66</f>
        <v>0.10468469107445366</v>
      </c>
      <c r="E56" s="153">
        <f>SUM($C$54:C56)/C66</f>
        <v>0.79506352007900116</v>
      </c>
    </row>
    <row r="57" spans="1:5" x14ac:dyDescent="0.2">
      <c r="A57" s="152">
        <v>4</v>
      </c>
      <c r="B57" s="151" t="s">
        <v>125</v>
      </c>
      <c r="C57" s="150">
        <v>19.173999999999999</v>
      </c>
      <c r="D57" s="149">
        <f>C57/C66</f>
        <v>5.2305518349487282E-2</v>
      </c>
      <c r="E57" s="149">
        <f>SUM($C$54:C57)/C66</f>
        <v>0.84736903842848832</v>
      </c>
    </row>
    <row r="58" spans="1:5" x14ac:dyDescent="0.2">
      <c r="A58" s="156">
        <v>5</v>
      </c>
      <c r="B58" s="155" t="s">
        <v>124</v>
      </c>
      <c r="C58" s="154">
        <v>13.678000000000001</v>
      </c>
      <c r="D58" s="153">
        <f>C58/C66</f>
        <v>3.7312761029742729E-2</v>
      </c>
      <c r="E58" s="153">
        <f>SUM($C$54:C58)/C66</f>
        <v>0.88468179945823111</v>
      </c>
    </row>
    <row r="59" spans="1:5" x14ac:dyDescent="0.2">
      <c r="A59" s="152">
        <v>6</v>
      </c>
      <c r="B59" s="151" t="s">
        <v>764</v>
      </c>
      <c r="C59" s="150">
        <v>8.6509999999999998</v>
      </c>
      <c r="D59" s="149">
        <f>C59/C66</f>
        <v>2.3599407491468369E-2</v>
      </c>
      <c r="E59" s="149">
        <f>SUM($C$54:C59)/C66</f>
        <v>0.90828120694969949</v>
      </c>
    </row>
    <row r="60" spans="1:5" x14ac:dyDescent="0.2">
      <c r="A60" s="156">
        <v>7</v>
      </c>
      <c r="B60" s="155" t="s">
        <v>760</v>
      </c>
      <c r="C60" s="154">
        <v>6.5830000000000002</v>
      </c>
      <c r="D60" s="153">
        <f>C60/C66</f>
        <v>1.7958027917736246E-2</v>
      </c>
      <c r="E60" s="153">
        <f>SUM($C$54:C60)/C66</f>
        <v>0.92623923486743576</v>
      </c>
    </row>
    <row r="61" spans="1:5" x14ac:dyDescent="0.2">
      <c r="A61" s="152">
        <v>8</v>
      </c>
      <c r="B61" s="151" t="s">
        <v>129</v>
      </c>
      <c r="C61" s="150">
        <v>5.8609999999999998</v>
      </c>
      <c r="D61" s="149">
        <f>C61/C66</f>
        <v>1.5988455358628608E-2</v>
      </c>
      <c r="E61" s="149">
        <f>SUM($C$54:C61)/C66</f>
        <v>0.94222769022606434</v>
      </c>
    </row>
    <row r="62" spans="1:5" x14ac:dyDescent="0.2">
      <c r="A62" s="156">
        <v>9</v>
      </c>
      <c r="B62" s="151" t="s">
        <v>129</v>
      </c>
      <c r="C62" s="154">
        <v>3.8929999999999998</v>
      </c>
      <c r="D62" s="153">
        <f>C62/C66</f>
        <v>1.0619869768152393E-2</v>
      </c>
      <c r="E62" s="153">
        <f>SUM($C$54:C62)/C66</f>
        <v>0.95284755999421666</v>
      </c>
    </row>
    <row r="63" spans="1:5" x14ac:dyDescent="0.2">
      <c r="A63" s="152">
        <v>10</v>
      </c>
      <c r="B63" s="151" t="s">
        <v>765</v>
      </c>
      <c r="C63" s="150">
        <v>3.4820000000000002</v>
      </c>
      <c r="D63" s="149">
        <f>C63/C66</f>
        <v>9.4986864969706236E-3</v>
      </c>
      <c r="E63" s="149">
        <f>SUM($C$54:C63)/C66</f>
        <v>0.96234624649118738</v>
      </c>
    </row>
    <row r="64" spans="1:5" x14ac:dyDescent="0.2">
      <c r="A64" s="148"/>
      <c r="B64" s="147" t="s">
        <v>130</v>
      </c>
      <c r="C64" s="146">
        <f>SUM(C54:C63)</f>
        <v>352.774</v>
      </c>
      <c r="D64" s="145">
        <f>SUM(D54:D63)</f>
        <v>0.96234624649118738</v>
      </c>
      <c r="E64" s="145"/>
    </row>
    <row r="65" spans="1:5" x14ac:dyDescent="0.2">
      <c r="A65" s="144"/>
      <c r="B65" s="143" t="s">
        <v>766</v>
      </c>
      <c r="C65" s="142">
        <f>C66-SUM(C54:C63)</f>
        <v>13.802999999999997</v>
      </c>
      <c r="D65" s="141">
        <f>C65/C66</f>
        <v>3.7653753508812601E-2</v>
      </c>
      <c r="E65" s="141">
        <f>1</f>
        <v>1</v>
      </c>
    </row>
    <row r="66" spans="1:5" x14ac:dyDescent="0.2">
      <c r="A66" s="137"/>
      <c r="B66" s="140" t="s">
        <v>749</v>
      </c>
      <c r="C66" s="139">
        <v>366.577</v>
      </c>
      <c r="D66" s="138">
        <f>1</f>
        <v>1</v>
      </c>
      <c r="E66" s="137"/>
    </row>
    <row r="68" spans="1:5" x14ac:dyDescent="0.2">
      <c r="A68" s="231" t="s">
        <v>767</v>
      </c>
      <c r="B68" s="231"/>
      <c r="C68" s="231"/>
      <c r="D68" s="231"/>
      <c r="E68" s="231"/>
    </row>
    <row r="69" spans="1:5" x14ac:dyDescent="0.2">
      <c r="A69" s="157" t="s">
        <v>257</v>
      </c>
      <c r="B69" s="157" t="s">
        <v>318</v>
      </c>
      <c r="C69" s="157" t="s">
        <v>742</v>
      </c>
      <c r="D69" s="157" t="s">
        <v>743</v>
      </c>
      <c r="E69" s="157" t="s">
        <v>744</v>
      </c>
    </row>
    <row r="70" spans="1:5" x14ac:dyDescent="0.2">
      <c r="A70" s="156">
        <v>1</v>
      </c>
      <c r="B70" s="155" t="s">
        <v>125</v>
      </c>
      <c r="C70" s="154">
        <v>93.36</v>
      </c>
      <c r="D70" s="153">
        <f>C70/C82</f>
        <v>0.24596642463458071</v>
      </c>
      <c r="E70" s="153">
        <f>SUM($C$70:C70)/C82</f>
        <v>0.24596642463458071</v>
      </c>
    </row>
    <row r="71" spans="1:5" x14ac:dyDescent="0.2">
      <c r="A71" s="152">
        <v>2</v>
      </c>
      <c r="B71" s="151" t="s">
        <v>124</v>
      </c>
      <c r="C71" s="150">
        <v>56.848999999999997</v>
      </c>
      <c r="D71" s="149">
        <f>C71/C82</f>
        <v>0.14977447808538216</v>
      </c>
      <c r="E71" s="149">
        <f>SUM($C$70:C71)/C82</f>
        <v>0.39574090271996287</v>
      </c>
    </row>
    <row r="72" spans="1:5" x14ac:dyDescent="0.2">
      <c r="A72" s="156">
        <v>3</v>
      </c>
      <c r="B72" s="155" t="s">
        <v>132</v>
      </c>
      <c r="C72" s="154">
        <v>21.204999999999998</v>
      </c>
      <c r="D72" s="153">
        <f>C72/C82</f>
        <v>5.5866731302230972E-2</v>
      </c>
      <c r="E72" s="153">
        <f>SUM($C$70:C72)/C82</f>
        <v>0.45160763402219384</v>
      </c>
    </row>
    <row r="73" spans="1:5" x14ac:dyDescent="0.2">
      <c r="A73" s="152">
        <v>4</v>
      </c>
      <c r="B73" s="151" t="s">
        <v>126</v>
      </c>
      <c r="C73" s="150">
        <v>18.981999999999999</v>
      </c>
      <c r="D73" s="149">
        <f>C73/C82</f>
        <v>5.0010011486863869E-2</v>
      </c>
      <c r="E73" s="149">
        <f>SUM($C$70:C73)/C82</f>
        <v>0.50161764550905774</v>
      </c>
    </row>
    <row r="74" spans="1:5" x14ac:dyDescent="0.2">
      <c r="A74" s="156">
        <v>5</v>
      </c>
      <c r="B74" s="155" t="s">
        <v>129</v>
      </c>
      <c r="C74" s="154">
        <v>18.808</v>
      </c>
      <c r="D74" s="153">
        <f>C74/C82</f>
        <v>4.9551590772570632E-2</v>
      </c>
      <c r="E74" s="153">
        <f>SUM($C$70:C74)/C82</f>
        <v>0.55116923628162828</v>
      </c>
    </row>
    <row r="75" spans="1:5" x14ac:dyDescent="0.2">
      <c r="A75" s="152">
        <v>6</v>
      </c>
      <c r="B75" s="151" t="s">
        <v>761</v>
      </c>
      <c r="C75" s="150">
        <v>11.201000000000001</v>
      </c>
      <c r="D75" s="149">
        <f>C75/C82</f>
        <v>2.9510174832175863E-2</v>
      </c>
      <c r="E75" s="149">
        <f>SUM($C$70:C75)/C82</f>
        <v>0.58067941111380417</v>
      </c>
    </row>
    <row r="76" spans="1:5" x14ac:dyDescent="0.2">
      <c r="A76" s="156">
        <v>7</v>
      </c>
      <c r="B76" s="155" t="s">
        <v>751</v>
      </c>
      <c r="C76" s="154">
        <v>10.154999999999999</v>
      </c>
      <c r="D76" s="153">
        <f>C76/C82</f>
        <v>2.6754381342803845E-2</v>
      </c>
      <c r="E76" s="153">
        <f>SUM($C$70:C76)/C82</f>
        <v>0.607433792456608</v>
      </c>
    </row>
    <row r="77" spans="1:5" x14ac:dyDescent="0.2">
      <c r="A77" s="152">
        <v>8</v>
      </c>
      <c r="B77" s="151" t="s">
        <v>758</v>
      </c>
      <c r="C77" s="150">
        <v>8.5540000000000003</v>
      </c>
      <c r="D77" s="149">
        <f>C77/C82</f>
        <v>2.2536383850944766E-2</v>
      </c>
      <c r="E77" s="149">
        <f>SUM($C$70:C77)/C82</f>
        <v>0.62997017630755281</v>
      </c>
    </row>
    <row r="78" spans="1:5" x14ac:dyDescent="0.2">
      <c r="A78" s="156">
        <v>9</v>
      </c>
      <c r="B78" s="155" t="s">
        <v>128</v>
      </c>
      <c r="C78" s="154">
        <v>7.3769999999999998</v>
      </c>
      <c r="D78" s="153">
        <f>C78/C82</f>
        <v>1.9435457524949677E-2</v>
      </c>
      <c r="E78" s="153">
        <f>SUM($C$70:C78)/C82</f>
        <v>0.64940563383250249</v>
      </c>
    </row>
    <row r="79" spans="1:5" x14ac:dyDescent="0.2">
      <c r="A79" s="152">
        <v>10</v>
      </c>
      <c r="B79" s="151" t="s">
        <v>768</v>
      </c>
      <c r="C79" s="150">
        <v>7.3520000000000003</v>
      </c>
      <c r="D79" s="149">
        <f>C79/C82</f>
        <v>1.9369592479792603E-2</v>
      </c>
      <c r="E79" s="149">
        <f>SUM($C$70:C79)/C82</f>
        <v>0.66877522631229513</v>
      </c>
    </row>
    <row r="80" spans="1:5" x14ac:dyDescent="0.2">
      <c r="A80" s="148"/>
      <c r="B80" s="147" t="s">
        <v>130</v>
      </c>
      <c r="C80" s="146">
        <f>SUM(C70:C79)</f>
        <v>253.84299999999999</v>
      </c>
      <c r="D80" s="145">
        <f>SUM(D70:D79)</f>
        <v>0.66877522631229525</v>
      </c>
      <c r="E80" s="145"/>
    </row>
    <row r="81" spans="1:5" x14ac:dyDescent="0.2">
      <c r="A81" s="144"/>
      <c r="B81" s="143" t="s">
        <v>769</v>
      </c>
      <c r="C81" s="142">
        <f>C82-SUM(C70:C79)</f>
        <v>125.72100000000003</v>
      </c>
      <c r="D81" s="141">
        <f>C81/C82</f>
        <v>0.33122477368770492</v>
      </c>
      <c r="E81" s="141">
        <f>1</f>
        <v>1</v>
      </c>
    </row>
    <row r="82" spans="1:5" x14ac:dyDescent="0.2">
      <c r="A82" s="137"/>
      <c r="B82" s="140" t="s">
        <v>749</v>
      </c>
      <c r="C82" s="139">
        <v>379.56400000000002</v>
      </c>
      <c r="D82" s="138">
        <f>1</f>
        <v>1</v>
      </c>
      <c r="E82" s="137"/>
    </row>
    <row r="84" spans="1:5" x14ac:dyDescent="0.2">
      <c r="A84" s="231" t="s">
        <v>770</v>
      </c>
      <c r="B84" s="231"/>
      <c r="C84" s="231"/>
      <c r="D84" s="231"/>
      <c r="E84" s="231"/>
    </row>
    <row r="85" spans="1:5" x14ac:dyDescent="0.2">
      <c r="A85" s="157" t="s">
        <v>257</v>
      </c>
      <c r="B85" s="157" t="s">
        <v>318</v>
      </c>
      <c r="C85" s="157" t="s">
        <v>742</v>
      </c>
      <c r="D85" s="157" t="s">
        <v>743</v>
      </c>
      <c r="E85" s="157" t="s">
        <v>744</v>
      </c>
    </row>
    <row r="86" spans="1:5" x14ac:dyDescent="0.2">
      <c r="A86" s="156">
        <v>1</v>
      </c>
      <c r="B86" s="155" t="s">
        <v>122</v>
      </c>
      <c r="C86" s="154">
        <v>741.15599999999995</v>
      </c>
      <c r="D86" s="153">
        <f>C86/C98</f>
        <v>0.38313367361814005</v>
      </c>
      <c r="E86" s="153">
        <f>SUM($C$86:C86)/C98</f>
        <v>0.38313367361814005</v>
      </c>
    </row>
    <row r="87" spans="1:5" x14ac:dyDescent="0.2">
      <c r="A87" s="152">
        <v>2</v>
      </c>
      <c r="B87" s="151" t="s">
        <v>124</v>
      </c>
      <c r="C87" s="150">
        <v>445.11900000000003</v>
      </c>
      <c r="D87" s="149">
        <f>C87/C98</f>
        <v>0.23010011072868991</v>
      </c>
      <c r="E87" s="149">
        <f>SUM($C$86:C87)/C98</f>
        <v>0.61323378434682996</v>
      </c>
    </row>
    <row r="88" spans="1:5" x14ac:dyDescent="0.2">
      <c r="A88" s="156">
        <v>3</v>
      </c>
      <c r="B88" s="155" t="s">
        <v>125</v>
      </c>
      <c r="C88" s="154">
        <v>104.87</v>
      </c>
      <c r="D88" s="153">
        <f>C88/C98</f>
        <v>5.4211567271039228E-2</v>
      </c>
      <c r="E88" s="153">
        <f>SUM($C$86:C88)/C98</f>
        <v>0.66744535161786911</v>
      </c>
    </row>
    <row r="89" spans="1:5" x14ac:dyDescent="0.2">
      <c r="A89" s="152">
        <v>4</v>
      </c>
      <c r="B89" s="151" t="s">
        <v>128</v>
      </c>
      <c r="C89" s="150">
        <v>88.09</v>
      </c>
      <c r="D89" s="149">
        <f>C89/C98</f>
        <v>4.5537302955142994E-2</v>
      </c>
      <c r="E89" s="149">
        <f>SUM($C$86:C89)/C98</f>
        <v>0.71298265457301213</v>
      </c>
    </row>
    <row r="90" spans="1:5" x14ac:dyDescent="0.2">
      <c r="A90" s="156">
        <v>5</v>
      </c>
      <c r="B90" s="155" t="s">
        <v>131</v>
      </c>
      <c r="C90" s="154">
        <v>84.29</v>
      </c>
      <c r="D90" s="153">
        <f>C90/C98</f>
        <v>4.3572928437836334E-2</v>
      </c>
      <c r="E90" s="153">
        <f>SUM($C$86:C90)/C98</f>
        <v>0.75655558301084846</v>
      </c>
    </row>
    <row r="91" spans="1:5" x14ac:dyDescent="0.2">
      <c r="A91" s="152">
        <v>6</v>
      </c>
      <c r="B91" s="151" t="s">
        <v>745</v>
      </c>
      <c r="C91" s="150">
        <v>55.463999999999999</v>
      </c>
      <c r="D91" s="149">
        <f>C91/C98</f>
        <v>2.8671596902077996E-2</v>
      </c>
      <c r="E91" s="149">
        <f>SUM($C$86:C91)/C98</f>
        <v>0.78522717991292634</v>
      </c>
    </row>
    <row r="92" spans="1:5" x14ac:dyDescent="0.2">
      <c r="A92" s="156">
        <v>7</v>
      </c>
      <c r="B92" s="155" t="s">
        <v>771</v>
      </c>
      <c r="C92" s="154">
        <v>34.164999999999999</v>
      </c>
      <c r="D92" s="153">
        <f>C92/C98</f>
        <v>1.7661277732574188E-2</v>
      </c>
      <c r="E92" s="153">
        <f>SUM($C$86:C92)/C98</f>
        <v>0.80288845764550054</v>
      </c>
    </row>
    <row r="93" spans="1:5" x14ac:dyDescent="0.2">
      <c r="A93" s="152">
        <v>8</v>
      </c>
      <c r="B93" s="151" t="s">
        <v>747</v>
      </c>
      <c r="C93" s="150">
        <v>31.867000000000001</v>
      </c>
      <c r="D93" s="149">
        <f>C93/C98</f>
        <v>1.6473348090266109E-2</v>
      </c>
      <c r="E93" s="149">
        <f>SUM($C$86:C93)/C98</f>
        <v>0.81936180573576667</v>
      </c>
    </row>
    <row r="94" spans="1:5" x14ac:dyDescent="0.2">
      <c r="A94" s="156">
        <v>9</v>
      </c>
      <c r="B94" s="155" t="s">
        <v>759</v>
      </c>
      <c r="C94" s="154">
        <v>30.797000000000001</v>
      </c>
      <c r="D94" s="153">
        <f>C94/C98</f>
        <v>1.5920221581445553E-2</v>
      </c>
      <c r="E94" s="153">
        <f>SUM($C$86:C94)/C98</f>
        <v>0.83528202731721224</v>
      </c>
    </row>
    <row r="95" spans="1:5" x14ac:dyDescent="0.2">
      <c r="A95" s="152">
        <v>10</v>
      </c>
      <c r="B95" s="151" t="s">
        <v>126</v>
      </c>
      <c r="C95" s="150">
        <v>30.38</v>
      </c>
      <c r="D95" s="149">
        <f>C95/C98</f>
        <v>1.5704657325204267E-2</v>
      </c>
      <c r="E95" s="149">
        <f>SUM($C$86:C95)/C98</f>
        <v>0.85098668464241656</v>
      </c>
    </row>
    <row r="96" spans="1:5" x14ac:dyDescent="0.2">
      <c r="A96" s="148"/>
      <c r="B96" s="147" t="s">
        <v>130</v>
      </c>
      <c r="C96" s="146">
        <f>SUM(C86:C95)</f>
        <v>1646.1979999999999</v>
      </c>
      <c r="D96" s="145">
        <f>SUM(D86:D95)</f>
        <v>0.85098668464241678</v>
      </c>
      <c r="E96" s="145"/>
    </row>
    <row r="97" spans="1:5" x14ac:dyDescent="0.2">
      <c r="A97" s="144"/>
      <c r="B97" s="143" t="s">
        <v>772</v>
      </c>
      <c r="C97" s="142">
        <f>C98-SUM(C86:C95)</f>
        <v>288.26000000000022</v>
      </c>
      <c r="D97" s="141">
        <f>C97/C98</f>
        <v>0.14901331535758347</v>
      </c>
      <c r="E97" s="141">
        <f>1</f>
        <v>1</v>
      </c>
    </row>
    <row r="98" spans="1:5" x14ac:dyDescent="0.2">
      <c r="A98" s="137"/>
      <c r="B98" s="140" t="s">
        <v>749</v>
      </c>
      <c r="C98" s="139">
        <v>1934.4580000000001</v>
      </c>
      <c r="D98" s="138">
        <f>1</f>
        <v>1</v>
      </c>
      <c r="E98" s="137"/>
    </row>
    <row r="100" spans="1:5" x14ac:dyDescent="0.2">
      <c r="A100" s="231" t="s">
        <v>773</v>
      </c>
      <c r="B100" s="231"/>
      <c r="C100" s="231"/>
      <c r="D100" s="231"/>
      <c r="E100" s="231"/>
    </row>
    <row r="101" spans="1:5" x14ac:dyDescent="0.2">
      <c r="A101" s="157" t="s">
        <v>257</v>
      </c>
      <c r="B101" s="157" t="s">
        <v>318</v>
      </c>
      <c r="C101" s="157" t="s">
        <v>742</v>
      </c>
      <c r="D101" s="157" t="s">
        <v>743</v>
      </c>
      <c r="E101" s="157" t="s">
        <v>744</v>
      </c>
    </row>
    <row r="102" spans="1:5" x14ac:dyDescent="0.2">
      <c r="A102" s="156">
        <v>1</v>
      </c>
      <c r="B102" s="155" t="s">
        <v>133</v>
      </c>
      <c r="C102" s="154">
        <v>60.783000000000001</v>
      </c>
      <c r="D102" s="153">
        <f>C102/C114</f>
        <v>0.18284725878017596</v>
      </c>
      <c r="E102" s="153">
        <f>SUM($C$102:C102)/C114</f>
        <v>0.18284725878017596</v>
      </c>
    </row>
    <row r="103" spans="1:5" x14ac:dyDescent="0.2">
      <c r="A103" s="152">
        <v>2</v>
      </c>
      <c r="B103" s="151" t="s">
        <v>774</v>
      </c>
      <c r="C103" s="150">
        <v>43.844000000000001</v>
      </c>
      <c r="D103" s="149">
        <f>C103/C114</f>
        <v>0.13189140407610739</v>
      </c>
      <c r="E103" s="149">
        <f>SUM($C$102:C103)/C114</f>
        <v>0.31473866285628338</v>
      </c>
    </row>
    <row r="104" spans="1:5" x14ac:dyDescent="0.2">
      <c r="A104" s="156">
        <v>3</v>
      </c>
      <c r="B104" s="155" t="s">
        <v>131</v>
      </c>
      <c r="C104" s="154">
        <v>33.26</v>
      </c>
      <c r="D104" s="153">
        <f>C104/C114</f>
        <v>0.10005264345341053</v>
      </c>
      <c r="E104" s="153">
        <f>SUM($C$102:C104)/C114</f>
        <v>0.41479130630969391</v>
      </c>
    </row>
    <row r="105" spans="1:5" x14ac:dyDescent="0.2">
      <c r="A105" s="152">
        <v>4</v>
      </c>
      <c r="B105" s="151" t="s">
        <v>775</v>
      </c>
      <c r="C105" s="150">
        <v>25.734000000000002</v>
      </c>
      <c r="D105" s="149">
        <f>C105/C114</f>
        <v>7.7412950289538998E-2</v>
      </c>
      <c r="E105" s="149">
        <f>SUM($C$102:C105)/C114</f>
        <v>0.49220425659923295</v>
      </c>
    </row>
    <row r="106" spans="1:5" x14ac:dyDescent="0.2">
      <c r="A106" s="156">
        <v>5</v>
      </c>
      <c r="B106" s="155" t="s">
        <v>122</v>
      </c>
      <c r="C106" s="154">
        <v>18.155000000000001</v>
      </c>
      <c r="D106" s="153">
        <f>C106/C114</f>
        <v>5.461382266676694E-2</v>
      </c>
      <c r="E106" s="153">
        <f>SUM($C$102:C106)/C114</f>
        <v>0.5468180792659999</v>
      </c>
    </row>
    <row r="107" spans="1:5" x14ac:dyDescent="0.2">
      <c r="A107" s="152">
        <v>6</v>
      </c>
      <c r="B107" s="151" t="s">
        <v>747</v>
      </c>
      <c r="C107" s="150">
        <v>17.574000000000002</v>
      </c>
      <c r="D107" s="149">
        <f>C107/C114</f>
        <v>5.2866060013536893E-2</v>
      </c>
      <c r="E107" s="149">
        <f>SUM($C$102:C107)/C114</f>
        <v>0.59968413927953679</v>
      </c>
    </row>
    <row r="108" spans="1:5" x14ac:dyDescent="0.2">
      <c r="A108" s="156">
        <v>7</v>
      </c>
      <c r="B108" s="155" t="s">
        <v>755</v>
      </c>
      <c r="C108" s="154">
        <v>13.738</v>
      </c>
      <c r="D108" s="153">
        <f>C108/C114</f>
        <v>4.1326615025945701E-2</v>
      </c>
      <c r="E108" s="153">
        <f>SUM($C$102:C108)/C114</f>
        <v>0.64101075430548249</v>
      </c>
    </row>
    <row r="109" spans="1:5" x14ac:dyDescent="0.2">
      <c r="A109" s="152">
        <v>8</v>
      </c>
      <c r="B109" s="151" t="s">
        <v>776</v>
      </c>
      <c r="C109" s="150">
        <v>10.563000000000001</v>
      </c>
      <c r="D109" s="149">
        <f>C109/C114</f>
        <v>3.1775588478604198E-2</v>
      </c>
      <c r="E109" s="149">
        <f>SUM($C$102:C109)/C114</f>
        <v>0.67278634278408667</v>
      </c>
    </row>
    <row r="110" spans="1:5" x14ac:dyDescent="0.2">
      <c r="A110" s="156">
        <v>9</v>
      </c>
      <c r="B110" s="155" t="s">
        <v>777</v>
      </c>
      <c r="C110" s="154">
        <v>10.551</v>
      </c>
      <c r="D110" s="153">
        <f>C110/C114</f>
        <v>3.1739490110551251E-2</v>
      </c>
      <c r="E110" s="153">
        <f>SUM($C$102:C110)/C114</f>
        <v>0.70452583289463788</v>
      </c>
    </row>
    <row r="111" spans="1:5" x14ac:dyDescent="0.2">
      <c r="A111" s="152">
        <v>10</v>
      </c>
      <c r="B111" s="151" t="s">
        <v>752</v>
      </c>
      <c r="C111" s="150">
        <v>10.544</v>
      </c>
      <c r="D111" s="149">
        <f>C111/C114</f>
        <v>3.1718432729187035E-2</v>
      </c>
      <c r="E111" s="149">
        <f>SUM($C$102:C111)/C114</f>
        <v>0.73624426562382494</v>
      </c>
    </row>
    <row r="112" spans="1:5" x14ac:dyDescent="0.2">
      <c r="A112" s="148"/>
      <c r="B112" s="147" t="s">
        <v>130</v>
      </c>
      <c r="C112" s="146">
        <f>SUM(C102:C111)</f>
        <v>244.74600000000001</v>
      </c>
      <c r="D112" s="145">
        <f>SUM(D102:D111)</f>
        <v>0.73624426562382483</v>
      </c>
      <c r="E112" s="145"/>
    </row>
    <row r="113" spans="1:5" x14ac:dyDescent="0.2">
      <c r="A113" s="144"/>
      <c r="B113" s="143" t="s">
        <v>778</v>
      </c>
      <c r="C113" s="142">
        <f>C114-SUM(C102:C111)</f>
        <v>87.679000000000002</v>
      </c>
      <c r="D113" s="141">
        <f>C113/C114</f>
        <v>0.26375573437617506</v>
      </c>
      <c r="E113" s="141">
        <f>1</f>
        <v>1</v>
      </c>
    </row>
    <row r="114" spans="1:5" x14ac:dyDescent="0.2">
      <c r="A114" s="137"/>
      <c r="B114" s="140" t="s">
        <v>749</v>
      </c>
      <c r="C114" s="139">
        <v>332.42500000000001</v>
      </c>
      <c r="D114" s="138">
        <f>1</f>
        <v>1</v>
      </c>
      <c r="E114" s="137"/>
    </row>
    <row r="116" spans="1:5" x14ac:dyDescent="0.2">
      <c r="A116" s="231" t="s">
        <v>779</v>
      </c>
      <c r="B116" s="231"/>
      <c r="C116" s="231"/>
      <c r="D116" s="231"/>
      <c r="E116" s="231"/>
    </row>
    <row r="117" spans="1:5" x14ac:dyDescent="0.2">
      <c r="A117" s="157" t="s">
        <v>257</v>
      </c>
      <c r="B117" s="157" t="s">
        <v>318</v>
      </c>
      <c r="C117" s="157" t="s">
        <v>742</v>
      </c>
      <c r="D117" s="157" t="s">
        <v>743</v>
      </c>
      <c r="E117" s="157" t="s">
        <v>744</v>
      </c>
    </row>
    <row r="118" spans="1:5" x14ac:dyDescent="0.2">
      <c r="A118" s="156">
        <v>1</v>
      </c>
      <c r="B118" s="155" t="s">
        <v>126</v>
      </c>
      <c r="C118" s="154">
        <v>8.0719999999999992</v>
      </c>
      <c r="D118" s="153">
        <f>C118/C130</f>
        <v>0.13766052151371999</v>
      </c>
      <c r="E118" s="153">
        <f>SUM($C$118:C118)/C130</f>
        <v>0.13766052151371999</v>
      </c>
    </row>
    <row r="119" spans="1:5" x14ac:dyDescent="0.2">
      <c r="A119" s="152">
        <v>2</v>
      </c>
      <c r="B119" s="151" t="s">
        <v>133</v>
      </c>
      <c r="C119" s="150">
        <v>6.6449999999999996</v>
      </c>
      <c r="D119" s="149">
        <f>C119/C130</f>
        <v>0.11332435151866568</v>
      </c>
      <c r="E119" s="149">
        <f>SUM($C$118:C119)/C130</f>
        <v>0.25098487303238565</v>
      </c>
    </row>
    <row r="120" spans="1:5" x14ac:dyDescent="0.2">
      <c r="A120" s="156">
        <v>3</v>
      </c>
      <c r="B120" s="155" t="s">
        <v>745</v>
      </c>
      <c r="C120" s="154">
        <v>4.6500000000000004</v>
      </c>
      <c r="D120" s="153">
        <f>C120/C130</f>
        <v>7.9301464945341682E-2</v>
      </c>
      <c r="E120" s="153">
        <f>SUM($C$118:C120)/C130</f>
        <v>0.33028633797772733</v>
      </c>
    </row>
    <row r="121" spans="1:5" x14ac:dyDescent="0.2">
      <c r="A121" s="152">
        <v>4</v>
      </c>
      <c r="B121" s="151" t="s">
        <v>780</v>
      </c>
      <c r="C121" s="150">
        <v>4.2370000000000001</v>
      </c>
      <c r="D121" s="149">
        <f>C121/C130</f>
        <v>7.2258130531916709E-2</v>
      </c>
      <c r="E121" s="149">
        <f>SUM($C$118:C121)/C130</f>
        <v>0.40254446850964404</v>
      </c>
    </row>
    <row r="122" spans="1:5" x14ac:dyDescent="0.2">
      <c r="A122" s="156">
        <v>5</v>
      </c>
      <c r="B122" s="155" t="s">
        <v>124</v>
      </c>
      <c r="C122" s="154">
        <v>4.0999999999999996</v>
      </c>
      <c r="D122" s="153">
        <f>C122/C130</f>
        <v>6.9921721779763621E-2</v>
      </c>
      <c r="E122" s="153">
        <f>SUM($C$118:C122)/C130</f>
        <v>0.47246619028940773</v>
      </c>
    </row>
    <row r="123" spans="1:5" x14ac:dyDescent="0.2">
      <c r="A123" s="152">
        <v>6</v>
      </c>
      <c r="B123" s="151" t="s">
        <v>781</v>
      </c>
      <c r="C123" s="150">
        <v>3.944</v>
      </c>
      <c r="D123" s="149">
        <f>C123/C130</f>
        <v>6.7261285536436038E-2</v>
      </c>
      <c r="E123" s="149">
        <f>SUM($C$118:C123)/C130</f>
        <v>0.53972747582584379</v>
      </c>
    </row>
    <row r="124" spans="1:5" x14ac:dyDescent="0.2">
      <c r="A124" s="156">
        <v>7</v>
      </c>
      <c r="B124" s="155" t="s">
        <v>122</v>
      </c>
      <c r="C124" s="154">
        <v>3.3119999999999998</v>
      </c>
      <c r="D124" s="153">
        <f>C124/C130</f>
        <v>5.6483107935262712E-2</v>
      </c>
      <c r="E124" s="153">
        <f>SUM($C$118:C124)/C130</f>
        <v>0.59621058376110647</v>
      </c>
    </row>
    <row r="125" spans="1:5" x14ac:dyDescent="0.2">
      <c r="A125" s="152">
        <v>8</v>
      </c>
      <c r="B125" s="151" t="s">
        <v>125</v>
      </c>
      <c r="C125" s="150">
        <v>3.141</v>
      </c>
      <c r="D125" s="149">
        <f>C125/C130</f>
        <v>5.3566860514692088E-2</v>
      </c>
      <c r="E125" s="149">
        <f>SUM($C$118:C125)/C130</f>
        <v>0.64977744427579853</v>
      </c>
    </row>
    <row r="126" spans="1:5" x14ac:dyDescent="0.2">
      <c r="A126" s="156">
        <v>9</v>
      </c>
      <c r="B126" s="155" t="s">
        <v>134</v>
      </c>
      <c r="C126" s="154">
        <v>2.6040000000000001</v>
      </c>
      <c r="D126" s="153">
        <f>C126/C130</f>
        <v>4.4408820369391339E-2</v>
      </c>
      <c r="E126" s="153">
        <f>SUM($C$118:C126)/C130</f>
        <v>0.69418626464518984</v>
      </c>
    </row>
    <row r="127" spans="1:5" x14ac:dyDescent="0.2">
      <c r="A127" s="152">
        <v>10</v>
      </c>
      <c r="B127" s="151" t="s">
        <v>759</v>
      </c>
      <c r="C127" s="150">
        <v>2.2040000000000002</v>
      </c>
      <c r="D127" s="149">
        <f>C127/C130</f>
        <v>3.758718897624367E-2</v>
      </c>
      <c r="E127" s="149">
        <f>SUM($C$118:C127)/C130</f>
        <v>0.73177345362143353</v>
      </c>
    </row>
    <row r="128" spans="1:5" x14ac:dyDescent="0.2">
      <c r="A128" s="148"/>
      <c r="B128" s="147" t="s">
        <v>130</v>
      </c>
      <c r="C128" s="146">
        <f>SUM(C118:C127)</f>
        <v>42.908999999999999</v>
      </c>
      <c r="D128" s="145">
        <f>SUM(D118:D127)</f>
        <v>0.73177345362143353</v>
      </c>
      <c r="E128" s="145"/>
    </row>
    <row r="129" spans="1:5" x14ac:dyDescent="0.2">
      <c r="A129" s="144"/>
      <c r="B129" s="143" t="s">
        <v>782</v>
      </c>
      <c r="C129" s="142">
        <f>C130-SUM(C118:C127)</f>
        <v>15.728000000000002</v>
      </c>
      <c r="D129" s="141">
        <f>C129/C130</f>
        <v>0.26822654637856647</v>
      </c>
      <c r="E129" s="141">
        <f>1</f>
        <v>1</v>
      </c>
    </row>
    <row r="130" spans="1:5" x14ac:dyDescent="0.2">
      <c r="A130" s="137"/>
      <c r="B130" s="140" t="s">
        <v>749</v>
      </c>
      <c r="C130" s="139">
        <v>58.637</v>
      </c>
      <c r="D130" s="138">
        <f>1</f>
        <v>1</v>
      </c>
      <c r="E130" s="137"/>
    </row>
    <row r="132" spans="1:5" x14ac:dyDescent="0.2">
      <c r="A132" s="231" t="s">
        <v>783</v>
      </c>
      <c r="B132" s="231"/>
      <c r="C132" s="231"/>
      <c r="D132" s="231"/>
      <c r="E132" s="231"/>
    </row>
    <row r="133" spans="1:5" x14ac:dyDescent="0.2">
      <c r="A133" s="157" t="s">
        <v>257</v>
      </c>
      <c r="B133" s="157" t="s">
        <v>318</v>
      </c>
      <c r="C133" s="157" t="s">
        <v>742</v>
      </c>
      <c r="D133" s="157" t="s">
        <v>743</v>
      </c>
      <c r="E133" s="157" t="s">
        <v>744</v>
      </c>
    </row>
    <row r="134" spans="1:5" x14ac:dyDescent="0.2">
      <c r="A134" s="156">
        <v>1</v>
      </c>
      <c r="B134" s="155" t="s">
        <v>124</v>
      </c>
      <c r="C134" s="154">
        <v>12.379</v>
      </c>
      <c r="D134" s="153">
        <f>C134/C146</f>
        <v>0.41190563338102681</v>
      </c>
      <c r="E134" s="153">
        <f>SUM($C$134:C134)/C146</f>
        <v>0.41190563338102681</v>
      </c>
    </row>
    <row r="135" spans="1:5" x14ac:dyDescent="0.2">
      <c r="A135" s="152">
        <v>2</v>
      </c>
      <c r="B135" s="151" t="s">
        <v>784</v>
      </c>
      <c r="C135" s="150">
        <v>2.9889999999999999</v>
      </c>
      <c r="D135" s="149">
        <f>C135/C146</f>
        <v>9.9457624862742483E-2</v>
      </c>
      <c r="E135" s="149">
        <f>SUM($C$134:C135)/C146</f>
        <v>0.51136325824376927</v>
      </c>
    </row>
    <row r="136" spans="1:5" x14ac:dyDescent="0.2">
      <c r="A136" s="156">
        <v>3</v>
      </c>
      <c r="B136" s="155" t="s">
        <v>125</v>
      </c>
      <c r="C136" s="154">
        <v>2.7130000000000001</v>
      </c>
      <c r="D136" s="153">
        <f>C136/C146</f>
        <v>9.0273849532492595E-2</v>
      </c>
      <c r="E136" s="153">
        <f>SUM($C$134:C136)/C146</f>
        <v>0.60163710777626189</v>
      </c>
    </row>
    <row r="137" spans="1:5" x14ac:dyDescent="0.2">
      <c r="A137" s="152">
        <v>4</v>
      </c>
      <c r="B137" s="151" t="s">
        <v>133</v>
      </c>
      <c r="C137" s="150">
        <v>1.8089999999999999</v>
      </c>
      <c r="D137" s="149">
        <f>C137/C146</f>
        <v>6.0193657871094396E-2</v>
      </c>
      <c r="E137" s="149">
        <f>SUM($C$134:C137)/C146</f>
        <v>0.66183076564735632</v>
      </c>
    </row>
    <row r="138" spans="1:5" x14ac:dyDescent="0.2">
      <c r="A138" s="156">
        <v>5</v>
      </c>
      <c r="B138" s="155" t="s">
        <v>785</v>
      </c>
      <c r="C138" s="154">
        <v>1.758</v>
      </c>
      <c r="D138" s="153">
        <f>C138/C146</f>
        <v>5.8496655907896052E-2</v>
      </c>
      <c r="E138" s="153">
        <f>SUM($C$134:C138)/C146</f>
        <v>0.72032742155525231</v>
      </c>
    </row>
    <row r="139" spans="1:5" x14ac:dyDescent="0.2">
      <c r="A139" s="152">
        <v>6</v>
      </c>
      <c r="B139" s="151" t="s">
        <v>786</v>
      </c>
      <c r="C139" s="150">
        <v>1.133</v>
      </c>
      <c r="D139" s="149">
        <f>C139/C146</f>
        <v>3.7700063221641766E-2</v>
      </c>
      <c r="E139" s="149">
        <f>SUM($C$134:C139)/C146</f>
        <v>0.75802748477689408</v>
      </c>
    </row>
    <row r="140" spans="1:5" x14ac:dyDescent="0.2">
      <c r="A140" s="156">
        <v>7</v>
      </c>
      <c r="B140" s="155" t="s">
        <v>781</v>
      </c>
      <c r="C140" s="154">
        <v>1.0860000000000001</v>
      </c>
      <c r="D140" s="153">
        <f>C140/C146</f>
        <v>3.6136159451635445E-2</v>
      </c>
      <c r="E140" s="153">
        <f>SUM($C$134:C140)/C146</f>
        <v>0.79416364422852948</v>
      </c>
    </row>
    <row r="141" spans="1:5" x14ac:dyDescent="0.2">
      <c r="A141" s="152">
        <v>8</v>
      </c>
      <c r="B141" s="151" t="s">
        <v>780</v>
      </c>
      <c r="C141" s="150">
        <v>1.083</v>
      </c>
      <c r="D141" s="149">
        <f>C141/C146</f>
        <v>3.6036335806741419E-2</v>
      </c>
      <c r="E141" s="149">
        <f>SUM($C$134:C141)/C146</f>
        <v>0.83019998003527085</v>
      </c>
    </row>
    <row r="142" spans="1:5" x14ac:dyDescent="0.2">
      <c r="A142" s="156">
        <v>9</v>
      </c>
      <c r="B142" s="155" t="s">
        <v>787</v>
      </c>
      <c r="C142" s="154">
        <v>0.82499999999999996</v>
      </c>
      <c r="D142" s="153">
        <f>C142/C146</f>
        <v>2.7451502345855652E-2</v>
      </c>
      <c r="E142" s="153">
        <f>SUM($C$134:C142)/C146</f>
        <v>0.85765148238112654</v>
      </c>
    </row>
    <row r="143" spans="1:5" x14ac:dyDescent="0.2">
      <c r="A143" s="152">
        <v>10</v>
      </c>
      <c r="B143" s="151" t="s">
        <v>788</v>
      </c>
      <c r="C143" s="150">
        <v>0.65</v>
      </c>
      <c r="D143" s="149">
        <f>C143/C146</f>
        <v>2.1628456393704455E-2</v>
      </c>
      <c r="E143" s="149">
        <f>SUM($C$134:C143)/C146</f>
        <v>0.8792799387748309</v>
      </c>
    </row>
    <row r="144" spans="1:5" x14ac:dyDescent="0.2">
      <c r="A144" s="148"/>
      <c r="B144" s="147" t="s">
        <v>130</v>
      </c>
      <c r="C144" s="146">
        <f>SUM(C134:C143)</f>
        <v>26.424999999999994</v>
      </c>
      <c r="D144" s="145">
        <f>SUM(D134:D143)</f>
        <v>0.87927993877483113</v>
      </c>
      <c r="E144" s="145"/>
    </row>
    <row r="145" spans="1:5" x14ac:dyDescent="0.2">
      <c r="A145" s="144"/>
      <c r="B145" s="143" t="s">
        <v>789</v>
      </c>
      <c r="C145" s="142">
        <f>C146-SUM(C134:C143)</f>
        <v>3.6280000000000072</v>
      </c>
      <c r="D145" s="141">
        <f>C145/C146</f>
        <v>0.12072006122516911</v>
      </c>
      <c r="E145" s="141">
        <f>1</f>
        <v>1</v>
      </c>
    </row>
    <row r="146" spans="1:5" x14ac:dyDescent="0.2">
      <c r="A146" s="137"/>
      <c r="B146" s="140" t="s">
        <v>749</v>
      </c>
      <c r="C146" s="139">
        <v>30.053000000000001</v>
      </c>
      <c r="D146" s="138">
        <f>1</f>
        <v>1</v>
      </c>
      <c r="E146" s="137"/>
    </row>
    <row r="148" spans="1:5" x14ac:dyDescent="0.2">
      <c r="A148" s="231" t="s">
        <v>790</v>
      </c>
      <c r="B148" s="231"/>
      <c r="C148" s="231"/>
      <c r="D148" s="231"/>
      <c r="E148" s="231"/>
    </row>
    <row r="149" spans="1:5" x14ac:dyDescent="0.2">
      <c r="A149" s="157" t="s">
        <v>257</v>
      </c>
      <c r="B149" s="157" t="s">
        <v>318</v>
      </c>
      <c r="C149" s="157" t="s">
        <v>742</v>
      </c>
      <c r="D149" s="157" t="s">
        <v>743</v>
      </c>
      <c r="E149" s="157" t="s">
        <v>744</v>
      </c>
    </row>
    <row r="150" spans="1:5" x14ac:dyDescent="0.2">
      <c r="A150" s="156">
        <v>1</v>
      </c>
      <c r="B150" s="155" t="s">
        <v>129</v>
      </c>
      <c r="C150" s="154">
        <v>20.63</v>
      </c>
      <c r="D150" s="153">
        <f>C150/C162</f>
        <v>0.14078067421864338</v>
      </c>
      <c r="E150" s="153">
        <f>SUM($C$150:C150)/C162</f>
        <v>0.14078067421864338</v>
      </c>
    </row>
    <row r="151" spans="1:5" x14ac:dyDescent="0.2">
      <c r="A151" s="152">
        <v>2</v>
      </c>
      <c r="B151" s="151" t="s">
        <v>759</v>
      </c>
      <c r="C151" s="150">
        <v>12.944000000000001</v>
      </c>
      <c r="D151" s="149">
        <f>C151/C162</f>
        <v>8.8330831172376154E-2</v>
      </c>
      <c r="E151" s="149">
        <f>SUM($C$150:C151)/C162</f>
        <v>0.22911150539101952</v>
      </c>
    </row>
    <row r="152" spans="1:5" x14ac:dyDescent="0.2">
      <c r="A152" s="156">
        <v>3</v>
      </c>
      <c r="B152" s="155" t="s">
        <v>758</v>
      </c>
      <c r="C152" s="154">
        <v>11.583</v>
      </c>
      <c r="D152" s="153">
        <f>C152/C162</f>
        <v>7.9043264637641608E-2</v>
      </c>
      <c r="E152" s="153">
        <f>SUM($C$150:C152)/C162</f>
        <v>0.3081547700286611</v>
      </c>
    </row>
    <row r="153" spans="1:5" x14ac:dyDescent="0.2">
      <c r="A153" s="152">
        <v>4</v>
      </c>
      <c r="B153" s="151" t="s">
        <v>761</v>
      </c>
      <c r="C153" s="150">
        <v>10.872999999999999</v>
      </c>
      <c r="D153" s="149">
        <f>C153/C162</f>
        <v>7.4198171147809466E-2</v>
      </c>
      <c r="E153" s="149">
        <f>SUM($C$150:C153)/C162</f>
        <v>0.38235294117647056</v>
      </c>
    </row>
    <row r="154" spans="1:5" x14ac:dyDescent="0.2">
      <c r="A154" s="156">
        <v>5</v>
      </c>
      <c r="B154" s="155" t="s">
        <v>760</v>
      </c>
      <c r="C154" s="154">
        <v>8.58</v>
      </c>
      <c r="D154" s="153">
        <f>C154/C162</f>
        <v>5.855056639825304E-2</v>
      </c>
      <c r="E154" s="153">
        <f>SUM($C$150:C154)/C162</f>
        <v>0.44090350757472363</v>
      </c>
    </row>
    <row r="155" spans="1:5" x14ac:dyDescent="0.2">
      <c r="A155" s="152">
        <v>6</v>
      </c>
      <c r="B155" s="151" t="s">
        <v>791</v>
      </c>
      <c r="C155" s="150">
        <v>7.8170000000000002</v>
      </c>
      <c r="D155" s="149">
        <f>C155/C162</f>
        <v>5.3343796915517952E-2</v>
      </c>
      <c r="E155" s="149">
        <f>SUM($C$150:C155)/C162</f>
        <v>0.49424730449024157</v>
      </c>
    </row>
    <row r="156" spans="1:5" x14ac:dyDescent="0.2">
      <c r="A156" s="156">
        <v>7</v>
      </c>
      <c r="B156" s="155" t="s">
        <v>792</v>
      </c>
      <c r="C156" s="154">
        <v>7.1029999999999998</v>
      </c>
      <c r="D156" s="153">
        <f>C156/C162</f>
        <v>4.8471407124334655E-2</v>
      </c>
      <c r="E156" s="153">
        <f>SUM($C$150:C156)/C162</f>
        <v>0.54271871161457619</v>
      </c>
    </row>
    <row r="157" spans="1:5" x14ac:dyDescent="0.2">
      <c r="A157" s="152">
        <v>8</v>
      </c>
      <c r="B157" s="151" t="s">
        <v>132</v>
      </c>
      <c r="C157" s="150">
        <v>6.851</v>
      </c>
      <c r="D157" s="149">
        <f>C157/C162</f>
        <v>4.6751740139211143E-2</v>
      </c>
      <c r="E157" s="149">
        <f>SUM($C$150:C157)/C162</f>
        <v>0.58947045175378732</v>
      </c>
    </row>
    <row r="158" spans="1:5" x14ac:dyDescent="0.2">
      <c r="A158" s="156">
        <v>9</v>
      </c>
      <c r="B158" s="155" t="s">
        <v>793</v>
      </c>
      <c r="C158" s="154">
        <v>6.6879999999999997</v>
      </c>
      <c r="D158" s="153">
        <f>C158/C162</f>
        <v>4.5639415859151086E-2</v>
      </c>
      <c r="E158" s="153">
        <f>SUM($C$150:C158)/C162</f>
        <v>0.63510986761293842</v>
      </c>
    </row>
    <row r="159" spans="1:5" x14ac:dyDescent="0.2">
      <c r="A159" s="152">
        <v>10</v>
      </c>
      <c r="B159" s="151" t="s">
        <v>134</v>
      </c>
      <c r="C159" s="150">
        <v>4.6710000000000003</v>
      </c>
      <c r="D159" s="149">
        <f>C159/C162</f>
        <v>3.1875255902825174E-2</v>
      </c>
      <c r="E159" s="149">
        <f>SUM($C$150:C159)/C162</f>
        <v>0.66698512351576367</v>
      </c>
    </row>
    <row r="160" spans="1:5" x14ac:dyDescent="0.2">
      <c r="A160" s="148"/>
      <c r="B160" s="147" t="s">
        <v>130</v>
      </c>
      <c r="C160" s="146">
        <f>SUM(C150:C159)</f>
        <v>97.74</v>
      </c>
      <c r="D160" s="145">
        <f>SUM(D150:D159)</f>
        <v>0.66698512351576356</v>
      </c>
      <c r="E160" s="145"/>
    </row>
    <row r="161" spans="1:5" x14ac:dyDescent="0.2">
      <c r="A161" s="144"/>
      <c r="B161" s="143" t="s">
        <v>794</v>
      </c>
      <c r="C161" s="142">
        <f>C162-SUM(C150:C159)</f>
        <v>48.8</v>
      </c>
      <c r="D161" s="141">
        <f>C161/C162</f>
        <v>0.33301487648423639</v>
      </c>
      <c r="E161" s="141">
        <f>1</f>
        <v>1</v>
      </c>
    </row>
    <row r="162" spans="1:5" x14ac:dyDescent="0.2">
      <c r="A162" s="137"/>
      <c r="B162" s="140" t="s">
        <v>749</v>
      </c>
      <c r="C162" s="139">
        <v>146.54</v>
      </c>
      <c r="D162" s="138">
        <f>1</f>
        <v>1</v>
      </c>
      <c r="E162" s="137"/>
    </row>
  </sheetData>
  <mergeCells count="11">
    <mergeCell ref="A1:E1"/>
    <mergeCell ref="A4:E4"/>
    <mergeCell ref="A20:E20"/>
    <mergeCell ref="A36:E36"/>
    <mergeCell ref="A52:E52"/>
    <mergeCell ref="A148:E148"/>
    <mergeCell ref="A68:E68"/>
    <mergeCell ref="A84:E84"/>
    <mergeCell ref="A100:E100"/>
    <mergeCell ref="A116:E116"/>
    <mergeCell ref="A132:E13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59996337778862885"/>
  </sheetPr>
  <dimension ref="A1:F33"/>
  <sheetViews>
    <sheetView showGridLines="0" workbookViewId="0">
      <selection sqref="A1:C1"/>
    </sheetView>
  </sheetViews>
  <sheetFormatPr baseColWidth="10" defaultColWidth="8.6640625" defaultRowHeight="15" x14ac:dyDescent="0.2"/>
  <cols>
    <col min="1" max="1" width="17.33203125" customWidth="1"/>
    <col min="2" max="3" width="29.33203125" customWidth="1"/>
    <col min="4" max="4" width="9.83203125" customWidth="1"/>
    <col min="5" max="6" width="13" customWidth="1"/>
  </cols>
  <sheetData>
    <row r="1" spans="1:3" ht="25.5" customHeight="1" x14ac:dyDescent="0.2">
      <c r="A1" s="234" t="s">
        <v>795</v>
      </c>
      <c r="B1" s="234"/>
      <c r="C1" s="234"/>
    </row>
    <row r="3" spans="1:3" ht="19.5" customHeight="1" x14ac:dyDescent="0.2">
      <c r="A3" s="235" t="s">
        <v>796</v>
      </c>
      <c r="B3" s="235"/>
      <c r="C3" s="235"/>
    </row>
    <row r="4" spans="1:3" ht="45.75" customHeight="1" x14ac:dyDescent="0.2">
      <c r="A4" s="236" t="s">
        <v>797</v>
      </c>
      <c r="B4" s="236"/>
      <c r="C4" s="236"/>
    </row>
    <row r="5" spans="1:3" ht="19.5" customHeight="1" x14ac:dyDescent="0.2">
      <c r="A5" s="235" t="s">
        <v>798</v>
      </c>
      <c r="B5" s="235"/>
      <c r="C5" s="235"/>
    </row>
    <row r="6" spans="1:3" ht="45.75" customHeight="1" x14ac:dyDescent="0.2">
      <c r="A6" s="236" t="s">
        <v>799</v>
      </c>
      <c r="B6" s="236"/>
      <c r="C6" s="236"/>
    </row>
    <row r="7" spans="1:3" ht="19.5" customHeight="1" x14ac:dyDescent="0.2">
      <c r="A7" s="235" t="s">
        <v>800</v>
      </c>
      <c r="B7" s="235"/>
      <c r="C7" s="235"/>
    </row>
    <row r="8" spans="1:3" ht="87.75" customHeight="1" x14ac:dyDescent="0.2">
      <c r="A8" s="236" t="s">
        <v>1268</v>
      </c>
      <c r="B8" s="236"/>
      <c r="C8" s="236"/>
    </row>
    <row r="9" spans="1:3" ht="19.5" customHeight="1" x14ac:dyDescent="0.2">
      <c r="A9" s="235" t="s">
        <v>26</v>
      </c>
      <c r="B9" s="235"/>
      <c r="C9" s="235"/>
    </row>
    <row r="10" spans="1:3" ht="60" customHeight="1" x14ac:dyDescent="0.2">
      <c r="A10" s="239" t="s">
        <v>1269</v>
      </c>
      <c r="B10" s="239"/>
      <c r="C10" s="239"/>
    </row>
    <row r="11" spans="1:3" ht="19.5" customHeight="1" x14ac:dyDescent="0.2">
      <c r="A11" s="235" t="s">
        <v>801</v>
      </c>
      <c r="B11" s="235"/>
      <c r="C11" s="235"/>
    </row>
    <row r="12" spans="1:3" ht="45.75" customHeight="1" x14ac:dyDescent="0.2">
      <c r="A12" s="239" t="s">
        <v>802</v>
      </c>
      <c r="B12" s="239"/>
      <c r="C12" s="239"/>
    </row>
    <row r="13" spans="1:3" ht="19.5" customHeight="1" x14ac:dyDescent="0.2">
      <c r="A13" s="235" t="s">
        <v>1270</v>
      </c>
      <c r="B13" s="235"/>
      <c r="C13" s="235"/>
    </row>
    <row r="14" spans="1:3" ht="73.5" customHeight="1" x14ac:dyDescent="0.2">
      <c r="A14" s="236" t="s">
        <v>1271</v>
      </c>
      <c r="B14" s="236"/>
      <c r="C14" s="236"/>
    </row>
    <row r="15" spans="1:3" ht="19.5" customHeight="1" x14ac:dyDescent="0.2">
      <c r="A15" s="235" t="s">
        <v>803</v>
      </c>
      <c r="B15" s="235"/>
      <c r="C15" s="235"/>
    </row>
    <row r="16" spans="1:3" ht="60" customHeight="1" x14ac:dyDescent="0.2">
      <c r="A16" s="240" t="s">
        <v>804</v>
      </c>
      <c r="B16" s="240"/>
      <c r="C16" s="240"/>
    </row>
    <row r="17" spans="1:6" ht="19.5" customHeight="1" x14ac:dyDescent="0.2">
      <c r="A17" s="235" t="s">
        <v>805</v>
      </c>
      <c r="B17" s="235"/>
      <c r="C17" s="235"/>
    </row>
    <row r="18" spans="1:6" ht="31.5" customHeight="1" x14ac:dyDescent="0.2">
      <c r="A18" s="236" t="s">
        <v>1272</v>
      </c>
      <c r="B18" s="236"/>
      <c r="C18" s="236"/>
    </row>
    <row r="20" spans="1:6" ht="15" customHeight="1" x14ac:dyDescent="0.2">
      <c r="A20" s="237" t="s">
        <v>806</v>
      </c>
      <c r="B20" s="237"/>
      <c r="C20" s="237"/>
    </row>
    <row r="21" spans="1:6" x14ac:dyDescent="0.2">
      <c r="A21" s="93" t="s">
        <v>330</v>
      </c>
      <c r="B21" s="93" t="s">
        <v>807</v>
      </c>
      <c r="C21" s="93" t="s">
        <v>808</v>
      </c>
      <c r="D21" s="93" t="s">
        <v>809</v>
      </c>
      <c r="E21" s="93" t="s">
        <v>810</v>
      </c>
      <c r="F21" s="93" t="s">
        <v>811</v>
      </c>
    </row>
    <row r="22" spans="1:6" x14ac:dyDescent="0.2">
      <c r="A22" s="20" t="s">
        <v>119</v>
      </c>
      <c r="B22" s="12" t="s">
        <v>122</v>
      </c>
      <c r="C22" s="94">
        <v>741.16</v>
      </c>
      <c r="D22" s="94">
        <v>265.91000000000003</v>
      </c>
      <c r="E22" s="95">
        <v>0.36</v>
      </c>
      <c r="F22" s="68" t="s">
        <v>1078</v>
      </c>
    </row>
    <row r="23" spans="1:6" x14ac:dyDescent="0.2">
      <c r="A23" s="20" t="s">
        <v>112</v>
      </c>
      <c r="B23" s="12" t="s">
        <v>122</v>
      </c>
      <c r="C23" s="94">
        <v>136.08000000000001</v>
      </c>
      <c r="D23" s="94">
        <v>42.47</v>
      </c>
      <c r="E23" s="95">
        <v>0.31</v>
      </c>
      <c r="F23" s="68" t="s">
        <v>1078</v>
      </c>
    </row>
    <row r="24" spans="1:6" x14ac:dyDescent="0.2">
      <c r="A24" s="20" t="s">
        <v>113</v>
      </c>
      <c r="B24" s="12" t="s">
        <v>125</v>
      </c>
      <c r="C24" s="94">
        <v>93.36</v>
      </c>
      <c r="D24" s="94">
        <v>94.61</v>
      </c>
      <c r="E24" s="95">
        <v>1.01</v>
      </c>
      <c r="F24" s="68" t="s">
        <v>1273</v>
      </c>
    </row>
    <row r="25" spans="1:6" x14ac:dyDescent="0.2">
      <c r="A25" s="20" t="s">
        <v>111</v>
      </c>
      <c r="B25" s="12" t="s">
        <v>125</v>
      </c>
      <c r="C25" s="94">
        <v>137.09</v>
      </c>
      <c r="D25" s="94">
        <v>135.44</v>
      </c>
      <c r="E25" s="95">
        <v>0.99</v>
      </c>
      <c r="F25" s="68" t="s">
        <v>1078</v>
      </c>
    </row>
    <row r="26" spans="1:6" x14ac:dyDescent="0.2">
      <c r="A26" s="20" t="s">
        <v>110</v>
      </c>
      <c r="B26" s="12" t="s">
        <v>125</v>
      </c>
      <c r="C26" s="94">
        <v>209.31</v>
      </c>
      <c r="D26" s="94">
        <v>60.1</v>
      </c>
      <c r="E26" s="95">
        <v>0.28999999999999998</v>
      </c>
      <c r="F26" s="68" t="s">
        <v>1078</v>
      </c>
    </row>
    <row r="27" spans="1:6" x14ac:dyDescent="0.2">
      <c r="A27" s="20" t="s">
        <v>118</v>
      </c>
      <c r="B27" s="12" t="s">
        <v>124</v>
      </c>
      <c r="C27" s="94">
        <v>12.38</v>
      </c>
      <c r="D27" s="94">
        <v>14.16</v>
      </c>
      <c r="E27" s="96">
        <v>1.1399999999999999</v>
      </c>
      <c r="F27" s="66" t="s">
        <v>1273</v>
      </c>
    </row>
    <row r="28" spans="1:6" x14ac:dyDescent="0.2">
      <c r="A28" s="20" t="s">
        <v>117</v>
      </c>
      <c r="B28" s="12" t="s">
        <v>133</v>
      </c>
      <c r="C28" s="94">
        <v>60.78</v>
      </c>
      <c r="D28" s="94">
        <v>48.2</v>
      </c>
      <c r="E28" s="95">
        <v>0.79</v>
      </c>
      <c r="F28" s="68" t="s">
        <v>1078</v>
      </c>
    </row>
    <row r="29" spans="1:6" x14ac:dyDescent="0.2">
      <c r="A29" s="20" t="s">
        <v>115</v>
      </c>
      <c r="B29" s="12" t="s">
        <v>129</v>
      </c>
      <c r="C29" s="94">
        <v>20.63</v>
      </c>
      <c r="D29" s="94">
        <v>54.24</v>
      </c>
      <c r="E29" s="96">
        <v>2.63</v>
      </c>
      <c r="F29" s="66" t="s">
        <v>1273</v>
      </c>
    </row>
    <row r="30" spans="1:6" x14ac:dyDescent="0.2">
      <c r="A30" s="20" t="s">
        <v>108</v>
      </c>
      <c r="B30" s="12" t="s">
        <v>126</v>
      </c>
      <c r="C30" s="94">
        <v>372.63</v>
      </c>
      <c r="D30" s="94">
        <v>122.85</v>
      </c>
      <c r="E30" s="95">
        <v>0.33</v>
      </c>
      <c r="F30" s="68" t="s">
        <v>1078</v>
      </c>
    </row>
    <row r="31" spans="1:6" x14ac:dyDescent="0.2">
      <c r="A31" s="20" t="s">
        <v>114</v>
      </c>
      <c r="B31" s="12" t="s">
        <v>126</v>
      </c>
      <c r="C31" s="94">
        <v>8.07</v>
      </c>
      <c r="D31" s="94">
        <v>28.2</v>
      </c>
      <c r="E31" s="96">
        <v>3.49</v>
      </c>
      <c r="F31" s="66" t="s">
        <v>1273</v>
      </c>
    </row>
    <row r="32" spans="1:6" x14ac:dyDescent="0.2">
      <c r="A32" s="133"/>
      <c r="B32" s="19"/>
      <c r="C32" s="134"/>
      <c r="D32" s="134"/>
      <c r="E32" s="135"/>
      <c r="F32" s="136"/>
    </row>
    <row r="33" spans="1:6" ht="30" customHeight="1" x14ac:dyDescent="0.2">
      <c r="A33" s="238" t="s">
        <v>1274</v>
      </c>
      <c r="B33" s="238"/>
      <c r="C33" s="238"/>
      <c r="D33" s="238"/>
      <c r="E33" s="238"/>
      <c r="F33" s="238"/>
    </row>
  </sheetData>
  <mergeCells count="19">
    <mergeCell ref="A20:C20"/>
    <mergeCell ref="A33:F33"/>
    <mergeCell ref="A7:C7"/>
    <mergeCell ref="A8:C8"/>
    <mergeCell ref="A9:C9"/>
    <mergeCell ref="A10:C10"/>
    <mergeCell ref="A11:C11"/>
    <mergeCell ref="A17:C17"/>
    <mergeCell ref="A18:C18"/>
    <mergeCell ref="A12:C12"/>
    <mergeCell ref="A13:C13"/>
    <mergeCell ref="A14:C14"/>
    <mergeCell ref="A15:C15"/>
    <mergeCell ref="A16:C16"/>
    <mergeCell ref="A1:C1"/>
    <mergeCell ref="A3:C3"/>
    <mergeCell ref="A4:C4"/>
    <mergeCell ref="A5:C5"/>
    <mergeCell ref="A6:C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59996337778862885"/>
  </sheetPr>
  <dimension ref="A1:I36"/>
  <sheetViews>
    <sheetView showGridLines="0" workbookViewId="0">
      <selection sqref="A1:C1"/>
    </sheetView>
  </sheetViews>
  <sheetFormatPr baseColWidth="10" defaultColWidth="8.6640625" defaultRowHeight="15" x14ac:dyDescent="0.2"/>
  <cols>
    <col min="1" max="1" width="8.6640625" customWidth="1"/>
    <col min="2" max="3" width="40" customWidth="1"/>
    <col min="4" max="9" width="13" customWidth="1"/>
  </cols>
  <sheetData>
    <row r="1" spans="1:3" ht="25.5" customHeight="1" x14ac:dyDescent="0.2">
      <c r="A1" s="234" t="s">
        <v>812</v>
      </c>
      <c r="B1" s="234"/>
      <c r="C1" s="234"/>
    </row>
    <row r="3" spans="1:3" ht="19.5" customHeight="1" x14ac:dyDescent="0.2">
      <c r="A3" s="235" t="s">
        <v>796</v>
      </c>
      <c r="B3" s="235"/>
      <c r="C3" s="235"/>
    </row>
    <row r="4" spans="1:3" ht="45.75" customHeight="1" x14ac:dyDescent="0.2">
      <c r="A4" s="236" t="s">
        <v>813</v>
      </c>
      <c r="B4" s="236"/>
      <c r="C4" s="236"/>
    </row>
    <row r="5" spans="1:3" ht="19.5" customHeight="1" x14ac:dyDescent="0.2">
      <c r="A5" s="235" t="s">
        <v>814</v>
      </c>
      <c r="B5" s="235"/>
      <c r="C5" s="235"/>
    </row>
    <row r="6" spans="1:3" ht="73.5" customHeight="1" x14ac:dyDescent="0.2">
      <c r="A6" s="236" t="s">
        <v>1275</v>
      </c>
      <c r="B6" s="236"/>
      <c r="C6" s="236"/>
    </row>
    <row r="7" spans="1:3" ht="19.5" customHeight="1" x14ac:dyDescent="0.2">
      <c r="A7" s="235" t="s">
        <v>815</v>
      </c>
      <c r="B7" s="235"/>
      <c r="C7" s="235"/>
    </row>
    <row r="8" spans="1:3" ht="87.75" customHeight="1" x14ac:dyDescent="0.2">
      <c r="A8" s="236" t="s">
        <v>1276</v>
      </c>
      <c r="B8" s="236"/>
      <c r="C8" s="236"/>
    </row>
    <row r="9" spans="1:3" ht="19.5" customHeight="1" x14ac:dyDescent="0.2">
      <c r="A9" s="235" t="s">
        <v>816</v>
      </c>
      <c r="B9" s="235"/>
      <c r="C9" s="235"/>
    </row>
    <row r="10" spans="1:3" ht="45.75" customHeight="1" x14ac:dyDescent="0.2">
      <c r="A10" s="239" t="s">
        <v>1277</v>
      </c>
      <c r="B10" s="239"/>
      <c r="C10" s="239"/>
    </row>
    <row r="11" spans="1:3" ht="19.5" customHeight="1" x14ac:dyDescent="0.2">
      <c r="A11" s="235" t="s">
        <v>1278</v>
      </c>
      <c r="B11" s="235"/>
      <c r="C11" s="235"/>
    </row>
    <row r="12" spans="1:3" ht="60" customHeight="1" x14ac:dyDescent="0.2">
      <c r="A12" s="239" t="s">
        <v>1279</v>
      </c>
      <c r="B12" s="239"/>
      <c r="C12" s="239"/>
    </row>
    <row r="13" spans="1:3" ht="19.5" customHeight="1" x14ac:dyDescent="0.2">
      <c r="A13" s="235" t="s">
        <v>817</v>
      </c>
      <c r="B13" s="235"/>
      <c r="C13" s="235"/>
    </row>
    <row r="14" spans="1:3" ht="73.5" customHeight="1" x14ac:dyDescent="0.2">
      <c r="A14" s="241" t="s">
        <v>1280</v>
      </c>
      <c r="B14" s="241"/>
      <c r="C14" s="241"/>
    </row>
    <row r="15" spans="1:3" ht="19.5" customHeight="1" x14ac:dyDescent="0.2">
      <c r="A15" s="235" t="s">
        <v>803</v>
      </c>
      <c r="B15" s="235"/>
      <c r="C15" s="235"/>
    </row>
    <row r="16" spans="1:3" ht="60" customHeight="1" x14ac:dyDescent="0.2">
      <c r="A16" s="240" t="s">
        <v>818</v>
      </c>
      <c r="B16" s="240"/>
      <c r="C16" s="240"/>
    </row>
    <row r="17" spans="1:9" ht="19.5" customHeight="1" x14ac:dyDescent="0.2">
      <c r="A17" s="235" t="s">
        <v>805</v>
      </c>
      <c r="B17" s="235"/>
      <c r="C17" s="235"/>
    </row>
    <row r="18" spans="1:9" ht="45.75" customHeight="1" x14ac:dyDescent="0.2">
      <c r="A18" s="236" t="s">
        <v>1281</v>
      </c>
      <c r="B18" s="236"/>
      <c r="C18" s="236"/>
    </row>
    <row r="20" spans="1:9" ht="15" customHeight="1" x14ac:dyDescent="0.2">
      <c r="A20" s="237" t="s">
        <v>819</v>
      </c>
      <c r="B20" s="237"/>
      <c r="C20" s="237"/>
    </row>
    <row r="21" spans="1:9" x14ac:dyDescent="0.2">
      <c r="A21" s="93" t="s">
        <v>330</v>
      </c>
      <c r="B21" s="93" t="s">
        <v>820</v>
      </c>
      <c r="C21" s="93" t="s">
        <v>821</v>
      </c>
      <c r="D21" s="93" t="s">
        <v>822</v>
      </c>
      <c r="E21" s="93" t="s">
        <v>823</v>
      </c>
      <c r="F21" s="93" t="s">
        <v>824</v>
      </c>
      <c r="G21" s="93" t="s">
        <v>825</v>
      </c>
      <c r="H21" s="93" t="s">
        <v>826</v>
      </c>
      <c r="I21" s="93" t="s">
        <v>827</v>
      </c>
    </row>
    <row r="22" spans="1:9" x14ac:dyDescent="0.2">
      <c r="A22" s="20" t="s">
        <v>119</v>
      </c>
      <c r="B22" s="97">
        <v>38.299999999999997</v>
      </c>
      <c r="C22" s="98">
        <v>1.5</v>
      </c>
      <c r="D22" s="99">
        <v>0.36</v>
      </c>
      <c r="E22" s="99">
        <v>0.77</v>
      </c>
      <c r="F22" s="99">
        <v>0.08</v>
      </c>
      <c r="G22" s="99">
        <v>0.64</v>
      </c>
      <c r="H22" s="100">
        <v>53</v>
      </c>
      <c r="I22" s="68" t="s">
        <v>828</v>
      </c>
    </row>
    <row r="23" spans="1:9" x14ac:dyDescent="0.2">
      <c r="A23" s="20" t="s">
        <v>112</v>
      </c>
      <c r="B23" s="97">
        <v>37.1</v>
      </c>
      <c r="C23" s="98">
        <v>3.6</v>
      </c>
      <c r="D23" s="99">
        <v>0.31</v>
      </c>
      <c r="E23" s="99">
        <v>0.74</v>
      </c>
      <c r="F23" s="99">
        <v>0.18</v>
      </c>
      <c r="G23" s="99">
        <v>0.69</v>
      </c>
      <c r="H23" s="100">
        <v>57.7</v>
      </c>
      <c r="I23" s="68" t="s">
        <v>828</v>
      </c>
    </row>
    <row r="24" spans="1:9" x14ac:dyDescent="0.2">
      <c r="A24" s="20" t="s">
        <v>113</v>
      </c>
      <c r="B24" s="97">
        <v>24.6</v>
      </c>
      <c r="C24" s="98">
        <v>2.2000000000000002</v>
      </c>
      <c r="D24" s="99">
        <v>1.01</v>
      </c>
      <c r="E24" s="99">
        <v>0.49</v>
      </c>
      <c r="F24" s="99">
        <v>0.11</v>
      </c>
      <c r="G24" s="99">
        <v>0</v>
      </c>
      <c r="H24" s="100">
        <v>0</v>
      </c>
      <c r="I24" s="68" t="s">
        <v>828</v>
      </c>
    </row>
    <row r="25" spans="1:9" x14ac:dyDescent="0.2">
      <c r="A25" s="20" t="s">
        <v>111</v>
      </c>
      <c r="B25" s="97">
        <v>17.2</v>
      </c>
      <c r="C25" s="98">
        <v>1.8</v>
      </c>
      <c r="D25" s="99">
        <v>0.99</v>
      </c>
      <c r="E25" s="99">
        <v>0.34</v>
      </c>
      <c r="F25" s="99">
        <v>0.09</v>
      </c>
      <c r="G25" s="99">
        <v>0.01</v>
      </c>
      <c r="H25" s="100">
        <v>0.9</v>
      </c>
      <c r="I25" s="68" t="s">
        <v>828</v>
      </c>
    </row>
    <row r="26" spans="1:9" x14ac:dyDescent="0.2">
      <c r="A26" s="20" t="s">
        <v>110</v>
      </c>
      <c r="B26" s="97">
        <v>26.5</v>
      </c>
      <c r="C26" s="98">
        <v>2.1</v>
      </c>
      <c r="D26" s="99">
        <v>0.28999999999999998</v>
      </c>
      <c r="E26" s="99">
        <v>0.53</v>
      </c>
      <c r="F26" s="99">
        <v>0.11</v>
      </c>
      <c r="G26" s="99">
        <v>0.71</v>
      </c>
      <c r="H26" s="101">
        <v>56.7</v>
      </c>
      <c r="I26" s="102" t="s">
        <v>829</v>
      </c>
    </row>
    <row r="27" spans="1:9" x14ac:dyDescent="0.2">
      <c r="A27" s="20" t="s">
        <v>118</v>
      </c>
      <c r="B27" s="97">
        <v>41.2</v>
      </c>
      <c r="C27" s="98">
        <v>12.3</v>
      </c>
      <c r="D27" s="99">
        <v>1.1399999999999999</v>
      </c>
      <c r="E27" s="99">
        <v>0.82</v>
      </c>
      <c r="F27" s="99">
        <v>0.61</v>
      </c>
      <c r="G27" s="99">
        <v>0</v>
      </c>
      <c r="H27" s="103">
        <v>0</v>
      </c>
      <c r="I27" s="66" t="s">
        <v>830</v>
      </c>
    </row>
    <row r="28" spans="1:9" x14ac:dyDescent="0.2">
      <c r="A28" s="20" t="s">
        <v>117</v>
      </c>
      <c r="B28" s="97">
        <v>18.3</v>
      </c>
      <c r="C28" s="98">
        <v>4.9000000000000004</v>
      </c>
      <c r="D28" s="99">
        <v>0.79</v>
      </c>
      <c r="E28" s="99">
        <v>0.37</v>
      </c>
      <c r="F28" s="99">
        <v>0.24</v>
      </c>
      <c r="G28" s="99">
        <v>0.21</v>
      </c>
      <c r="H28" s="103">
        <v>16.399999999999999</v>
      </c>
      <c r="I28" s="66" t="s">
        <v>830</v>
      </c>
    </row>
    <row r="29" spans="1:9" x14ac:dyDescent="0.2">
      <c r="A29" s="20" t="s">
        <v>115</v>
      </c>
      <c r="B29" s="97">
        <v>14.1</v>
      </c>
      <c r="C29" s="98">
        <v>14.5</v>
      </c>
      <c r="D29" s="99">
        <v>2.63</v>
      </c>
      <c r="E29" s="99">
        <v>0.28000000000000003</v>
      </c>
      <c r="F29" s="99">
        <v>0.73</v>
      </c>
      <c r="G29" s="99">
        <v>0</v>
      </c>
      <c r="H29" s="103">
        <v>0</v>
      </c>
      <c r="I29" s="66" t="s">
        <v>830</v>
      </c>
    </row>
    <row r="30" spans="1:9" x14ac:dyDescent="0.2">
      <c r="A30" s="20" t="s">
        <v>108</v>
      </c>
      <c r="B30" s="97">
        <v>31</v>
      </c>
      <c r="C30" s="98">
        <v>5</v>
      </c>
      <c r="D30" s="99">
        <v>0.33</v>
      </c>
      <c r="E30" s="99">
        <v>0.62</v>
      </c>
      <c r="F30" s="99">
        <v>0.25</v>
      </c>
      <c r="G30" s="99">
        <v>0.67</v>
      </c>
      <c r="H30" s="103">
        <v>55.7</v>
      </c>
      <c r="I30" s="66" t="s">
        <v>830</v>
      </c>
    </row>
    <row r="31" spans="1:9" x14ac:dyDescent="0.2">
      <c r="A31" s="20" t="s">
        <v>114</v>
      </c>
      <c r="B31" s="97">
        <v>13.8</v>
      </c>
      <c r="C31" s="98">
        <v>19</v>
      </c>
      <c r="D31" s="99">
        <v>3.49</v>
      </c>
      <c r="E31" s="99">
        <v>0.28000000000000003</v>
      </c>
      <c r="F31" s="99">
        <v>0.95</v>
      </c>
      <c r="G31" s="99">
        <v>0</v>
      </c>
      <c r="H31" s="103">
        <v>0</v>
      </c>
      <c r="I31" s="66" t="s">
        <v>830</v>
      </c>
    </row>
    <row r="32" spans="1:9" ht="54" customHeight="1" x14ac:dyDescent="0.2">
      <c r="A32" s="238" t="s">
        <v>1282</v>
      </c>
      <c r="B32" s="238"/>
      <c r="C32" s="238"/>
      <c r="D32" s="238"/>
      <c r="E32" s="238"/>
      <c r="F32" s="238"/>
      <c r="G32" s="238"/>
      <c r="H32" s="238"/>
      <c r="I32" s="238"/>
    </row>
    <row r="36" spans="4:4" x14ac:dyDescent="0.2">
      <c r="D36" s="173">
        <f>1-MIN(D22:D31,1)</f>
        <v>0.71</v>
      </c>
    </row>
  </sheetData>
  <mergeCells count="19">
    <mergeCell ref="A20:C20"/>
    <mergeCell ref="A32:I32"/>
    <mergeCell ref="A7:C7"/>
    <mergeCell ref="A8:C8"/>
    <mergeCell ref="A9:C9"/>
    <mergeCell ref="A10:C10"/>
    <mergeCell ref="A11:C11"/>
    <mergeCell ref="A17:C17"/>
    <mergeCell ref="A18:C18"/>
    <mergeCell ref="A12:C12"/>
    <mergeCell ref="A13:C13"/>
    <mergeCell ref="A14:C14"/>
    <mergeCell ref="A15:C15"/>
    <mergeCell ref="A16:C16"/>
    <mergeCell ref="A1:C1"/>
    <mergeCell ref="A3:C3"/>
    <mergeCell ref="A4:C4"/>
    <mergeCell ref="A5:C5"/>
    <mergeCell ref="A6:C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59996337778862885"/>
  </sheetPr>
  <dimension ref="A1:C40"/>
  <sheetViews>
    <sheetView showGridLines="0" workbookViewId="0">
      <selection sqref="A1:C1"/>
    </sheetView>
  </sheetViews>
  <sheetFormatPr baseColWidth="10" defaultColWidth="8.6640625" defaultRowHeight="15" x14ac:dyDescent="0.2"/>
  <cols>
    <col min="1" max="1" width="26" style="23" customWidth="1"/>
    <col min="2" max="2" width="54" style="23" customWidth="1"/>
    <col min="3" max="3" width="34" style="23" customWidth="1"/>
    <col min="4" max="16384" width="8.6640625" style="23"/>
  </cols>
  <sheetData>
    <row r="1" spans="1:3" ht="24" customHeight="1" x14ac:dyDescent="0.2">
      <c r="A1" s="205" t="s">
        <v>831</v>
      </c>
      <c r="B1" s="205"/>
      <c r="C1" s="205"/>
    </row>
    <row r="3" spans="1:3" x14ac:dyDescent="0.2">
      <c r="A3" s="204" t="s">
        <v>832</v>
      </c>
      <c r="B3" s="204"/>
      <c r="C3" s="204"/>
    </row>
    <row r="4" spans="1:3" ht="68" customHeight="1" x14ac:dyDescent="0.2">
      <c r="A4" s="242" t="s">
        <v>833</v>
      </c>
      <c r="B4" s="243"/>
      <c r="C4" s="243"/>
    </row>
    <row r="5" spans="1:3" x14ac:dyDescent="0.2">
      <c r="A5" s="24" t="s">
        <v>410</v>
      </c>
      <c r="B5" s="24" t="s">
        <v>187</v>
      </c>
      <c r="C5" s="24" t="s">
        <v>834</v>
      </c>
    </row>
    <row r="6" spans="1:3" ht="91" x14ac:dyDescent="0.2">
      <c r="A6" s="113" t="s">
        <v>532</v>
      </c>
      <c r="B6" s="12" t="s">
        <v>835</v>
      </c>
      <c r="C6" s="12" t="s">
        <v>836</v>
      </c>
    </row>
    <row r="7" spans="1:3" ht="52" x14ac:dyDescent="0.2">
      <c r="A7" s="113" t="s">
        <v>636</v>
      </c>
      <c r="B7" s="12" t="s">
        <v>837</v>
      </c>
      <c r="C7" s="12" t="s">
        <v>1283</v>
      </c>
    </row>
    <row r="8" spans="1:3" ht="52" x14ac:dyDescent="0.2">
      <c r="A8" s="113" t="s">
        <v>645</v>
      </c>
      <c r="B8" s="12" t="s">
        <v>838</v>
      </c>
      <c r="C8" s="12" t="s">
        <v>1284</v>
      </c>
    </row>
    <row r="9" spans="1:3" ht="26" x14ac:dyDescent="0.2">
      <c r="A9" s="113" t="s">
        <v>839</v>
      </c>
      <c r="B9" s="12" t="s">
        <v>840</v>
      </c>
      <c r="C9" s="12" t="s">
        <v>841</v>
      </c>
    </row>
    <row r="10" spans="1:3" ht="52" x14ac:dyDescent="0.2">
      <c r="A10" s="113" t="s">
        <v>654</v>
      </c>
      <c r="B10" s="12" t="s">
        <v>842</v>
      </c>
      <c r="C10" s="12" t="s">
        <v>1285</v>
      </c>
    </row>
    <row r="11" spans="1:3" ht="39" x14ac:dyDescent="0.2">
      <c r="A11" s="113" t="s">
        <v>508</v>
      </c>
      <c r="B11" s="12" t="s">
        <v>843</v>
      </c>
      <c r="C11" s="12" t="s">
        <v>844</v>
      </c>
    </row>
    <row r="12" spans="1:3" ht="26" x14ac:dyDescent="0.2">
      <c r="A12" s="113" t="s">
        <v>416</v>
      </c>
      <c r="B12" s="12" t="s">
        <v>845</v>
      </c>
      <c r="C12" s="12" t="s">
        <v>846</v>
      </c>
    </row>
    <row r="13" spans="1:3" ht="26" x14ac:dyDescent="0.2">
      <c r="A13" s="113" t="s">
        <v>662</v>
      </c>
      <c r="B13" s="12" t="s">
        <v>847</v>
      </c>
      <c r="C13" s="12" t="s">
        <v>848</v>
      </c>
    </row>
    <row r="14" spans="1:3" ht="39" x14ac:dyDescent="0.2">
      <c r="A14" s="113" t="s">
        <v>849</v>
      </c>
      <c r="B14" s="12" t="s">
        <v>850</v>
      </c>
      <c r="C14" s="12" t="s">
        <v>851</v>
      </c>
    </row>
    <row r="17" spans="1:3" ht="18" customHeight="1" x14ac:dyDescent="0.2">
      <c r="A17" s="204" t="s">
        <v>852</v>
      </c>
      <c r="B17" s="204"/>
      <c r="C17" s="204"/>
    </row>
    <row r="18" spans="1:3" x14ac:dyDescent="0.2">
      <c r="A18" s="24" t="s">
        <v>312</v>
      </c>
      <c r="B18" s="24" t="s">
        <v>41</v>
      </c>
      <c r="C18" s="24" t="s">
        <v>853</v>
      </c>
    </row>
    <row r="19" spans="1:3" ht="30" customHeight="1" x14ac:dyDescent="0.2">
      <c r="A19" s="92" t="s">
        <v>414</v>
      </c>
      <c r="B19" s="50" t="s">
        <v>854</v>
      </c>
      <c r="C19" s="26" t="s">
        <v>855</v>
      </c>
    </row>
    <row r="20" spans="1:3" ht="30" customHeight="1" x14ac:dyDescent="0.2">
      <c r="A20" s="92" t="s">
        <v>478</v>
      </c>
      <c r="B20" s="50" t="s">
        <v>856</v>
      </c>
      <c r="C20" s="26" t="s">
        <v>857</v>
      </c>
    </row>
    <row r="21" spans="1:3" ht="30" customHeight="1" x14ac:dyDescent="0.2">
      <c r="A21" s="92" t="s">
        <v>490</v>
      </c>
      <c r="B21" s="50" t="s">
        <v>858</v>
      </c>
      <c r="C21" s="26" t="s">
        <v>859</v>
      </c>
    </row>
    <row r="22" spans="1:3" ht="30" customHeight="1" x14ac:dyDescent="0.2">
      <c r="A22" s="92" t="s">
        <v>860</v>
      </c>
      <c r="B22" s="50" t="s">
        <v>246</v>
      </c>
      <c r="C22" s="26" t="s">
        <v>861</v>
      </c>
    </row>
    <row r="23" spans="1:3" ht="30" customHeight="1" x14ac:dyDescent="0.2">
      <c r="A23" s="92" t="s">
        <v>862</v>
      </c>
      <c r="B23" s="50" t="s">
        <v>863</v>
      </c>
      <c r="C23" s="26" t="s">
        <v>864</v>
      </c>
    </row>
    <row r="24" spans="1:3" ht="30" customHeight="1" x14ac:dyDescent="0.2">
      <c r="A24" s="92" t="s">
        <v>865</v>
      </c>
      <c r="B24" s="50" t="s">
        <v>866</v>
      </c>
      <c r="C24" s="26" t="s">
        <v>867</v>
      </c>
    </row>
    <row r="26" spans="1:3" ht="18" customHeight="1" x14ac:dyDescent="0.2"/>
    <row r="28" spans="1:3" ht="25.5" customHeight="1" x14ac:dyDescent="0.2"/>
    <row r="29" spans="1:3" ht="25.5" customHeight="1" x14ac:dyDescent="0.2"/>
    <row r="30" spans="1:3" ht="25.5" customHeight="1" x14ac:dyDescent="0.2"/>
    <row r="31" spans="1:3" ht="25.5" customHeight="1" x14ac:dyDescent="0.2"/>
    <row r="32" spans="1:3" ht="25.5" customHeight="1" x14ac:dyDescent="0.2"/>
    <row r="33" ht="25.5" customHeight="1" x14ac:dyDescent="0.2"/>
    <row r="34" ht="25.5" customHeight="1" x14ac:dyDescent="0.2"/>
    <row r="35" ht="25.5" customHeight="1" x14ac:dyDescent="0.2"/>
    <row r="36" ht="25.5" customHeight="1" x14ac:dyDescent="0.2"/>
    <row r="37" ht="25.5" customHeight="1" x14ac:dyDescent="0.2"/>
    <row r="38" ht="25.5" customHeight="1" x14ac:dyDescent="0.2"/>
    <row r="39" ht="25.5" customHeight="1" x14ac:dyDescent="0.2"/>
    <row r="40" ht="25.5" customHeight="1" x14ac:dyDescent="0.2"/>
  </sheetData>
  <mergeCells count="4">
    <mergeCell ref="A1:C1"/>
    <mergeCell ref="A17:C17"/>
    <mergeCell ref="A3:C3"/>
    <mergeCell ref="A4:C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sheetPr>
  <dimension ref="A1:C13"/>
  <sheetViews>
    <sheetView showGridLines="0" workbookViewId="0">
      <selection sqref="A1:C1"/>
    </sheetView>
  </sheetViews>
  <sheetFormatPr baseColWidth="10" defaultColWidth="8.6640625" defaultRowHeight="15" x14ac:dyDescent="0.2"/>
  <cols>
    <col min="1" max="1" width="5" style="23" customWidth="1"/>
    <col min="2" max="2" width="46" style="23" customWidth="1"/>
    <col min="3" max="3" width="50" style="23" customWidth="1"/>
    <col min="4" max="16384" width="8.6640625" style="23"/>
  </cols>
  <sheetData>
    <row r="1" spans="1:3" ht="24" customHeight="1" x14ac:dyDescent="0.2">
      <c r="A1" s="205" t="s">
        <v>868</v>
      </c>
      <c r="B1" s="205"/>
      <c r="C1" s="205"/>
    </row>
    <row r="3" spans="1:3" x14ac:dyDescent="0.2">
      <c r="A3" s="24" t="s">
        <v>40</v>
      </c>
      <c r="B3" s="24" t="s">
        <v>869</v>
      </c>
      <c r="C3" s="24" t="s">
        <v>189</v>
      </c>
    </row>
    <row r="4" spans="1:3" ht="30" customHeight="1" x14ac:dyDescent="0.2">
      <c r="A4" s="119" t="s">
        <v>48</v>
      </c>
      <c r="B4" s="50" t="s">
        <v>870</v>
      </c>
      <c r="C4" s="26" t="s">
        <v>871</v>
      </c>
    </row>
    <row r="5" spans="1:3" ht="30" customHeight="1" x14ac:dyDescent="0.2">
      <c r="A5" s="119" t="s">
        <v>56</v>
      </c>
      <c r="B5" s="50" t="s">
        <v>872</v>
      </c>
      <c r="C5" s="26" t="s">
        <v>873</v>
      </c>
    </row>
    <row r="6" spans="1:3" ht="30" customHeight="1" x14ac:dyDescent="0.2">
      <c r="A6" s="119" t="s">
        <v>64</v>
      </c>
      <c r="B6" s="50" t="s">
        <v>874</v>
      </c>
      <c r="C6" s="26" t="s">
        <v>875</v>
      </c>
    </row>
    <row r="7" spans="1:3" ht="30" customHeight="1" x14ac:dyDescent="0.2">
      <c r="A7" s="119" t="s">
        <v>71</v>
      </c>
      <c r="B7" s="50" t="s">
        <v>876</v>
      </c>
      <c r="C7" s="26" t="s">
        <v>877</v>
      </c>
    </row>
    <row r="8" spans="1:3" ht="30" customHeight="1" x14ac:dyDescent="0.2">
      <c r="A8" s="119" t="s">
        <v>77</v>
      </c>
      <c r="B8" s="50" t="s">
        <v>878</v>
      </c>
      <c r="C8" s="26" t="s">
        <v>879</v>
      </c>
    </row>
    <row r="9" spans="1:3" ht="30" customHeight="1" x14ac:dyDescent="0.2">
      <c r="A9" s="119" t="s">
        <v>160</v>
      </c>
      <c r="B9" s="50" t="s">
        <v>880</v>
      </c>
      <c r="C9" s="26" t="s">
        <v>881</v>
      </c>
    </row>
    <row r="10" spans="1:3" ht="30" customHeight="1" x14ac:dyDescent="0.2">
      <c r="A10" s="119" t="s">
        <v>163</v>
      </c>
      <c r="B10" s="50" t="s">
        <v>882</v>
      </c>
      <c r="C10" s="26" t="s">
        <v>883</v>
      </c>
    </row>
    <row r="11" spans="1:3" ht="30" customHeight="1" x14ac:dyDescent="0.2">
      <c r="A11" s="119" t="s">
        <v>167</v>
      </c>
      <c r="B11" s="50" t="s">
        <v>884</v>
      </c>
      <c r="C11" s="26" t="s">
        <v>885</v>
      </c>
    </row>
    <row r="12" spans="1:3" ht="30" customHeight="1" x14ac:dyDescent="0.2">
      <c r="A12" s="119" t="s">
        <v>678</v>
      </c>
      <c r="B12" s="50" t="s">
        <v>886</v>
      </c>
      <c r="C12" s="26" t="s">
        <v>887</v>
      </c>
    </row>
    <row r="13" spans="1:3" ht="30" customHeight="1" x14ac:dyDescent="0.2">
      <c r="A13" s="119" t="s">
        <v>888</v>
      </c>
      <c r="B13" s="50" t="s">
        <v>889</v>
      </c>
      <c r="C13" s="26" t="s">
        <v>890</v>
      </c>
    </row>
  </sheetData>
  <mergeCells count="1">
    <mergeCell ref="A1:C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tint="0.59996337778862885"/>
  </sheetPr>
  <dimension ref="A1:F11"/>
  <sheetViews>
    <sheetView showGridLines="0" workbookViewId="0">
      <selection sqref="A1:F1"/>
    </sheetView>
  </sheetViews>
  <sheetFormatPr baseColWidth="10" defaultColWidth="8.6640625" defaultRowHeight="15" x14ac:dyDescent="0.2"/>
  <cols>
    <col min="1" max="1" width="20" style="23" customWidth="1"/>
    <col min="2" max="2" width="30" style="23" customWidth="1"/>
    <col min="3" max="4" width="34" style="23" customWidth="1"/>
    <col min="5" max="5" width="24" style="23" customWidth="1"/>
    <col min="6" max="6" width="40" style="23" customWidth="1"/>
    <col min="7" max="16384" width="8.6640625" style="23"/>
  </cols>
  <sheetData>
    <row r="1" spans="1:6" ht="24" customHeight="1" x14ac:dyDescent="0.2">
      <c r="A1" s="186" t="s">
        <v>891</v>
      </c>
      <c r="B1" s="186"/>
      <c r="C1" s="186"/>
      <c r="D1" s="186"/>
      <c r="E1" s="186"/>
      <c r="F1" s="186"/>
    </row>
    <row r="2" spans="1:6" ht="33.75" customHeight="1" x14ac:dyDescent="0.2">
      <c r="A2" s="179" t="s">
        <v>892</v>
      </c>
      <c r="B2" s="179"/>
      <c r="C2" s="179"/>
      <c r="D2" s="179"/>
      <c r="E2" s="179"/>
      <c r="F2" s="179"/>
    </row>
    <row r="4" spans="1:6" ht="21.75" customHeight="1" x14ac:dyDescent="0.2">
      <c r="A4" s="11" t="s">
        <v>893</v>
      </c>
      <c r="B4" s="11" t="s">
        <v>894</v>
      </c>
      <c r="C4" s="11" t="s">
        <v>895</v>
      </c>
      <c r="D4" s="11" t="s">
        <v>896</v>
      </c>
      <c r="E4" s="11" t="s">
        <v>897</v>
      </c>
      <c r="F4" s="11" t="s">
        <v>898</v>
      </c>
    </row>
    <row r="5" spans="1:6" ht="84" customHeight="1" x14ac:dyDescent="0.2">
      <c r="A5" s="14" t="s">
        <v>899</v>
      </c>
      <c r="B5" s="9" t="s">
        <v>900</v>
      </c>
      <c r="C5" s="9" t="s">
        <v>901</v>
      </c>
      <c r="D5" s="9" t="s">
        <v>902</v>
      </c>
      <c r="E5" s="9" t="s">
        <v>903</v>
      </c>
      <c r="F5" s="32" t="s">
        <v>904</v>
      </c>
    </row>
    <row r="6" spans="1:6" ht="84" customHeight="1" x14ac:dyDescent="0.2">
      <c r="A6" s="65" t="s">
        <v>905</v>
      </c>
      <c r="B6" s="9" t="s">
        <v>906</v>
      </c>
      <c r="C6" s="9" t="s">
        <v>907</v>
      </c>
      <c r="D6" s="9" t="s">
        <v>908</v>
      </c>
      <c r="E6" s="9" t="s">
        <v>909</v>
      </c>
      <c r="F6" s="32" t="s">
        <v>910</v>
      </c>
    </row>
    <row r="7" spans="1:6" ht="84" customHeight="1" x14ac:dyDescent="0.2">
      <c r="A7" s="31" t="s">
        <v>911</v>
      </c>
      <c r="B7" s="9" t="s">
        <v>912</v>
      </c>
      <c r="C7" s="9" t="s">
        <v>913</v>
      </c>
      <c r="D7" s="9" t="s">
        <v>914</v>
      </c>
      <c r="E7" s="9" t="s">
        <v>915</v>
      </c>
      <c r="F7" s="32" t="s">
        <v>916</v>
      </c>
    </row>
    <row r="8" spans="1:6" ht="84" customHeight="1" x14ac:dyDescent="0.2">
      <c r="A8" s="34" t="s">
        <v>917</v>
      </c>
      <c r="B8" s="9" t="s">
        <v>918</v>
      </c>
      <c r="C8" s="9" t="s">
        <v>919</v>
      </c>
      <c r="D8" s="9" t="s">
        <v>920</v>
      </c>
      <c r="E8" s="9" t="s">
        <v>921</v>
      </c>
      <c r="F8" s="32" t="s">
        <v>922</v>
      </c>
    </row>
    <row r="10" spans="1:6" ht="54" customHeight="1" x14ac:dyDescent="0.2">
      <c r="A10" s="244" t="s">
        <v>923</v>
      </c>
      <c r="B10" s="244"/>
      <c r="C10" s="244"/>
      <c r="D10" s="244"/>
      <c r="E10" s="244"/>
      <c r="F10" s="244"/>
    </row>
    <row r="11" spans="1:6" ht="31.5" customHeight="1" x14ac:dyDescent="0.2">
      <c r="A11" s="245" t="s">
        <v>924</v>
      </c>
      <c r="B11" s="245"/>
      <c r="C11" s="245"/>
      <c r="D11" s="245"/>
      <c r="E11" s="245"/>
      <c r="F11" s="245"/>
    </row>
  </sheetData>
  <mergeCells count="4">
    <mergeCell ref="A1:F1"/>
    <mergeCell ref="A2:F2"/>
    <mergeCell ref="A10:F10"/>
    <mergeCell ref="A11:F1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6337778862885"/>
  </sheetPr>
  <dimension ref="A1:A26"/>
  <sheetViews>
    <sheetView showGridLines="0" workbookViewId="0"/>
  </sheetViews>
  <sheetFormatPr baseColWidth="10" defaultColWidth="8.6640625" defaultRowHeight="15" x14ac:dyDescent="0.2"/>
  <cols>
    <col min="1" max="1" width="140" style="23" customWidth="1"/>
    <col min="2" max="16384" width="8.6640625" style="23"/>
  </cols>
  <sheetData>
    <row r="1" spans="1:1" ht="30" customHeight="1" x14ac:dyDescent="0.2">
      <c r="A1" s="109" t="s">
        <v>925</v>
      </c>
    </row>
    <row r="3" spans="1:1" ht="21.75" customHeight="1" x14ac:dyDescent="0.2">
      <c r="A3" s="108" t="s">
        <v>926</v>
      </c>
    </row>
    <row r="4" spans="1:1" ht="45.75" customHeight="1" x14ac:dyDescent="0.2">
      <c r="A4" s="104" t="s">
        <v>927</v>
      </c>
    </row>
    <row r="5" spans="1:1" ht="60" customHeight="1" x14ac:dyDescent="0.2">
      <c r="A5" s="104" t="s">
        <v>928</v>
      </c>
    </row>
    <row r="6" spans="1:1" ht="45.75" customHeight="1" x14ac:dyDescent="0.2">
      <c r="A6" s="104" t="s">
        <v>929</v>
      </c>
    </row>
    <row r="7" spans="1:1" ht="60" customHeight="1" x14ac:dyDescent="0.2">
      <c r="A7" s="104" t="s">
        <v>930</v>
      </c>
    </row>
    <row r="8" spans="1:1" ht="7.5" customHeight="1" x14ac:dyDescent="0.2"/>
    <row r="9" spans="1:1" ht="21.75" customHeight="1" x14ac:dyDescent="0.2">
      <c r="A9" s="107" t="s">
        <v>931</v>
      </c>
    </row>
    <row r="10" spans="1:1" ht="31.5" customHeight="1" x14ac:dyDescent="0.2">
      <c r="A10" s="104" t="s">
        <v>932</v>
      </c>
    </row>
    <row r="11" spans="1:1" ht="60" customHeight="1" x14ac:dyDescent="0.2">
      <c r="A11" s="104" t="s">
        <v>933</v>
      </c>
    </row>
    <row r="12" spans="1:1" ht="60" customHeight="1" x14ac:dyDescent="0.2">
      <c r="A12" s="104" t="s">
        <v>934</v>
      </c>
    </row>
    <row r="13" spans="1:1" ht="73.5" customHeight="1" x14ac:dyDescent="0.2">
      <c r="A13" s="104" t="s">
        <v>935</v>
      </c>
    </row>
    <row r="14" spans="1:1" ht="7.5" customHeight="1" x14ac:dyDescent="0.2"/>
    <row r="15" spans="1:1" ht="21.75" customHeight="1" x14ac:dyDescent="0.2">
      <c r="A15" s="106" t="s">
        <v>936</v>
      </c>
    </row>
    <row r="16" spans="1:1" ht="31.5" customHeight="1" x14ac:dyDescent="0.2">
      <c r="A16" s="104" t="s">
        <v>937</v>
      </c>
    </row>
    <row r="17" spans="1:1" ht="45.75" customHeight="1" x14ac:dyDescent="0.2">
      <c r="A17" s="104" t="s">
        <v>938</v>
      </c>
    </row>
    <row r="18" spans="1:1" ht="60" customHeight="1" x14ac:dyDescent="0.2">
      <c r="A18" s="104" t="s">
        <v>939</v>
      </c>
    </row>
    <row r="19" spans="1:1" ht="73.5" customHeight="1" x14ac:dyDescent="0.2">
      <c r="A19" s="104" t="s">
        <v>940</v>
      </c>
    </row>
    <row r="20" spans="1:1" ht="7.5" customHeight="1" x14ac:dyDescent="0.2"/>
    <row r="21" spans="1:1" ht="21.75" customHeight="1" x14ac:dyDescent="0.2">
      <c r="A21" s="105" t="s">
        <v>941</v>
      </c>
    </row>
    <row r="22" spans="1:1" ht="31.5" customHeight="1" x14ac:dyDescent="0.2">
      <c r="A22" s="104" t="s">
        <v>942</v>
      </c>
    </row>
    <row r="23" spans="1:1" ht="45.75" customHeight="1" x14ac:dyDescent="0.2">
      <c r="A23" s="104" t="s">
        <v>943</v>
      </c>
    </row>
    <row r="24" spans="1:1" ht="60" customHeight="1" x14ac:dyDescent="0.2">
      <c r="A24" s="104" t="s">
        <v>944</v>
      </c>
    </row>
    <row r="25" spans="1:1" ht="60" customHeight="1" x14ac:dyDescent="0.2">
      <c r="A25" s="104" t="s">
        <v>945</v>
      </c>
    </row>
    <row r="26" spans="1:1" ht="7.5" customHeight="1"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6337778862885"/>
  </sheetPr>
  <dimension ref="A1:F15"/>
  <sheetViews>
    <sheetView showGridLines="0" workbookViewId="0">
      <selection sqref="A1:F1"/>
    </sheetView>
  </sheetViews>
  <sheetFormatPr baseColWidth="10" defaultColWidth="8.6640625" defaultRowHeight="15" x14ac:dyDescent="0.2"/>
  <cols>
    <col min="1" max="1" width="12.1640625" style="23" customWidth="1"/>
    <col min="2" max="2" width="26" style="23" customWidth="1"/>
    <col min="3" max="3" width="40" style="23" customWidth="1"/>
    <col min="4" max="4" width="22" style="23" customWidth="1"/>
    <col min="5" max="5" width="44" style="23" customWidth="1"/>
    <col min="6" max="6" width="20" style="23" customWidth="1"/>
    <col min="7" max="16384" width="8.6640625" style="23"/>
  </cols>
  <sheetData>
    <row r="1" spans="1:6" ht="24" customHeight="1" x14ac:dyDescent="0.2">
      <c r="A1" s="205" t="s">
        <v>946</v>
      </c>
      <c r="B1" s="205"/>
      <c r="C1" s="205"/>
      <c r="D1" s="205"/>
      <c r="E1" s="205"/>
      <c r="F1" s="205"/>
    </row>
    <row r="2" spans="1:6" ht="27.75" customHeight="1" x14ac:dyDescent="0.2">
      <c r="A2" s="206" t="s">
        <v>947</v>
      </c>
      <c r="B2" s="206"/>
      <c r="C2" s="206"/>
      <c r="D2" s="206"/>
      <c r="E2" s="206"/>
      <c r="F2" s="206"/>
    </row>
    <row r="4" spans="1:6" ht="21.75" customHeight="1" x14ac:dyDescent="0.2">
      <c r="A4" s="25" t="s">
        <v>948</v>
      </c>
      <c r="B4" s="24" t="s">
        <v>949</v>
      </c>
      <c r="C4" s="24" t="s">
        <v>950</v>
      </c>
      <c r="D4" s="24" t="s">
        <v>951</v>
      </c>
      <c r="E4" s="24" t="s">
        <v>952</v>
      </c>
      <c r="F4" s="24" t="s">
        <v>953</v>
      </c>
    </row>
    <row r="5" spans="1:6" ht="57.75" customHeight="1" x14ac:dyDescent="0.2">
      <c r="A5" s="111" t="s">
        <v>954</v>
      </c>
      <c r="B5" s="50" t="s">
        <v>955</v>
      </c>
      <c r="C5" s="26" t="s">
        <v>956</v>
      </c>
      <c r="D5" s="50" t="s">
        <v>957</v>
      </c>
      <c r="E5" s="9" t="s">
        <v>1286</v>
      </c>
      <c r="F5" s="26" t="s">
        <v>958</v>
      </c>
    </row>
    <row r="6" spans="1:6" ht="57.75" customHeight="1" x14ac:dyDescent="0.2">
      <c r="A6" s="111" t="s">
        <v>959</v>
      </c>
      <c r="B6" s="50" t="s">
        <v>960</v>
      </c>
      <c r="C6" s="26" t="s">
        <v>961</v>
      </c>
      <c r="D6" s="50" t="s">
        <v>962</v>
      </c>
      <c r="E6" s="9" t="s">
        <v>1287</v>
      </c>
      <c r="F6" s="26" t="s">
        <v>963</v>
      </c>
    </row>
    <row r="7" spans="1:6" ht="57.75" customHeight="1" x14ac:dyDescent="0.2">
      <c r="A7" s="111" t="s">
        <v>964</v>
      </c>
      <c r="B7" s="50" t="s">
        <v>965</v>
      </c>
      <c r="C7" s="26" t="s">
        <v>966</v>
      </c>
      <c r="D7" s="50" t="s">
        <v>967</v>
      </c>
      <c r="E7" s="26" t="s">
        <v>968</v>
      </c>
      <c r="F7" s="26" t="s">
        <v>969</v>
      </c>
    </row>
    <row r="8" spans="1:6" ht="57.75" customHeight="1" x14ac:dyDescent="0.2">
      <c r="A8" s="111" t="s">
        <v>970</v>
      </c>
      <c r="B8" s="50" t="s">
        <v>971</v>
      </c>
      <c r="C8" s="26" t="s">
        <v>972</v>
      </c>
      <c r="D8" s="50" t="s">
        <v>973</v>
      </c>
      <c r="E8" s="26" t="s">
        <v>974</v>
      </c>
      <c r="F8" s="26" t="s">
        <v>975</v>
      </c>
    </row>
    <row r="9" spans="1:6" ht="57.75" customHeight="1" x14ac:dyDescent="0.2">
      <c r="A9" s="112" t="s">
        <v>976</v>
      </c>
      <c r="B9" s="50" t="s">
        <v>977</v>
      </c>
      <c r="C9" s="26" t="s">
        <v>978</v>
      </c>
      <c r="D9" s="50" t="s">
        <v>979</v>
      </c>
      <c r="E9" s="26" t="s">
        <v>980</v>
      </c>
      <c r="F9" s="26" t="s">
        <v>981</v>
      </c>
    </row>
    <row r="10" spans="1:6" ht="57.75" customHeight="1" x14ac:dyDescent="0.2">
      <c r="A10" s="111" t="s">
        <v>982</v>
      </c>
      <c r="B10" s="50" t="s">
        <v>983</v>
      </c>
      <c r="C10" s="26" t="s">
        <v>984</v>
      </c>
      <c r="D10" s="50" t="s">
        <v>985</v>
      </c>
      <c r="E10" s="26" t="s">
        <v>986</v>
      </c>
      <c r="F10" s="26" t="s">
        <v>987</v>
      </c>
    </row>
    <row r="11" spans="1:6" ht="57.75" customHeight="1" x14ac:dyDescent="0.2">
      <c r="A11" s="110" t="s">
        <v>988</v>
      </c>
      <c r="B11" s="50" t="s">
        <v>989</v>
      </c>
      <c r="C11" s="26" t="s">
        <v>990</v>
      </c>
      <c r="D11" s="50" t="s">
        <v>973</v>
      </c>
      <c r="E11" s="26" t="s">
        <v>991</v>
      </c>
      <c r="F11" s="26" t="s">
        <v>992</v>
      </c>
    </row>
    <row r="12" spans="1:6" ht="57.75" customHeight="1" x14ac:dyDescent="0.2">
      <c r="A12" s="110" t="s">
        <v>988</v>
      </c>
      <c r="B12" s="50" t="s">
        <v>993</v>
      </c>
      <c r="C12" s="26" t="s">
        <v>994</v>
      </c>
      <c r="D12" s="50" t="s">
        <v>995</v>
      </c>
      <c r="E12" s="26" t="s">
        <v>996</v>
      </c>
      <c r="F12" s="26" t="s">
        <v>997</v>
      </c>
    </row>
    <row r="13" spans="1:6" ht="57.75" customHeight="1" x14ac:dyDescent="0.2">
      <c r="A13" s="110" t="s">
        <v>988</v>
      </c>
      <c r="B13" s="50" t="s">
        <v>998</v>
      </c>
      <c r="C13" s="26" t="s">
        <v>999</v>
      </c>
      <c r="D13" s="50" t="s">
        <v>1000</v>
      </c>
      <c r="E13" s="26" t="s">
        <v>1001</v>
      </c>
      <c r="F13" s="26" t="s">
        <v>1002</v>
      </c>
    </row>
    <row r="15" spans="1:6" ht="36" customHeight="1" x14ac:dyDescent="0.2">
      <c r="A15" s="246" t="s">
        <v>1003</v>
      </c>
      <c r="B15" s="246"/>
      <c r="C15" s="246"/>
      <c r="D15" s="246"/>
      <c r="E15" s="246"/>
      <c r="F15" s="246"/>
    </row>
  </sheetData>
  <mergeCells count="3">
    <mergeCell ref="A1:F1"/>
    <mergeCell ref="A2:F2"/>
    <mergeCell ref="A15:F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6337778862885"/>
  </sheetPr>
  <dimension ref="A1:E20"/>
  <sheetViews>
    <sheetView showGridLines="0" workbookViewId="0">
      <selection sqref="A1:E1"/>
    </sheetView>
  </sheetViews>
  <sheetFormatPr baseColWidth="10" defaultColWidth="8.6640625" defaultRowHeight="15" x14ac:dyDescent="0.2"/>
  <cols>
    <col min="1" max="1" width="5" style="23" customWidth="1"/>
    <col min="2" max="2" width="22" style="23" customWidth="1"/>
    <col min="3" max="3" width="26" style="23" customWidth="1"/>
    <col min="4" max="4" width="52" style="23" customWidth="1"/>
    <col min="5" max="5" width="26" style="23" customWidth="1"/>
    <col min="6" max="16384" width="8.6640625" style="23"/>
  </cols>
  <sheetData>
    <row r="1" spans="1:5" ht="24" customHeight="1" x14ac:dyDescent="0.2">
      <c r="A1" s="186" t="s">
        <v>1004</v>
      </c>
      <c r="B1" s="186"/>
      <c r="C1" s="186"/>
      <c r="D1" s="186"/>
      <c r="E1" s="186"/>
    </row>
    <row r="3" spans="1:5" x14ac:dyDescent="0.2">
      <c r="A3" s="13" t="s">
        <v>40</v>
      </c>
      <c r="B3" s="11" t="s">
        <v>1005</v>
      </c>
      <c r="C3" s="11" t="s">
        <v>1006</v>
      </c>
      <c r="D3" s="11" t="s">
        <v>1007</v>
      </c>
      <c r="E3" s="11" t="s">
        <v>1008</v>
      </c>
    </row>
    <row r="4" spans="1:5" ht="39.75" customHeight="1" x14ac:dyDescent="0.2">
      <c r="A4" s="117" t="s">
        <v>582</v>
      </c>
      <c r="B4" s="114" t="s">
        <v>1009</v>
      </c>
      <c r="C4" s="9" t="s">
        <v>1010</v>
      </c>
      <c r="D4" s="118" t="s">
        <v>1011</v>
      </c>
      <c r="E4" s="116" t="s">
        <v>1012</v>
      </c>
    </row>
    <row r="5" spans="1:5" ht="39.75" customHeight="1" x14ac:dyDescent="0.2">
      <c r="A5" s="117" t="s">
        <v>48</v>
      </c>
      <c r="B5" s="114" t="s">
        <v>1013</v>
      </c>
      <c r="C5" s="9" t="s">
        <v>1014</v>
      </c>
      <c r="D5" s="118" t="s">
        <v>1015</v>
      </c>
      <c r="E5" s="116" t="s">
        <v>1012</v>
      </c>
    </row>
    <row r="6" spans="1:5" ht="39.75" customHeight="1" x14ac:dyDescent="0.2">
      <c r="A6" s="117" t="s">
        <v>56</v>
      </c>
      <c r="B6" s="114" t="s">
        <v>1016</v>
      </c>
      <c r="C6" s="9" t="s">
        <v>1017</v>
      </c>
      <c r="D6" s="118" t="s">
        <v>1018</v>
      </c>
      <c r="E6" s="116" t="s">
        <v>1019</v>
      </c>
    </row>
    <row r="7" spans="1:5" ht="39.75" customHeight="1" x14ac:dyDescent="0.2">
      <c r="A7" s="117" t="s">
        <v>64</v>
      </c>
      <c r="B7" s="114" t="s">
        <v>1020</v>
      </c>
      <c r="C7" s="9" t="s">
        <v>1021</v>
      </c>
      <c r="D7" s="118" t="s">
        <v>1022</v>
      </c>
      <c r="E7" s="116" t="s">
        <v>1019</v>
      </c>
    </row>
    <row r="8" spans="1:5" ht="39.75" customHeight="1" x14ac:dyDescent="0.2">
      <c r="A8" s="117" t="s">
        <v>71</v>
      </c>
      <c r="B8" s="114" t="s">
        <v>1023</v>
      </c>
      <c r="C8" s="9" t="s">
        <v>1024</v>
      </c>
      <c r="D8" s="118" t="s">
        <v>1025</v>
      </c>
      <c r="E8" s="116" t="s">
        <v>1026</v>
      </c>
    </row>
    <row r="9" spans="1:5" ht="39.75" customHeight="1" x14ac:dyDescent="0.2">
      <c r="A9" s="117" t="s">
        <v>77</v>
      </c>
      <c r="B9" s="114" t="s">
        <v>1027</v>
      </c>
      <c r="C9" s="9" t="s">
        <v>1028</v>
      </c>
      <c r="D9" s="118" t="s">
        <v>1029</v>
      </c>
      <c r="E9" s="116" t="s">
        <v>1026</v>
      </c>
    </row>
    <row r="10" spans="1:5" ht="39.75" customHeight="1" x14ac:dyDescent="0.2">
      <c r="A10" s="117" t="s">
        <v>160</v>
      </c>
      <c r="B10" s="114" t="s">
        <v>1030</v>
      </c>
      <c r="C10" s="9" t="s">
        <v>1031</v>
      </c>
      <c r="D10" s="118" t="s">
        <v>1032</v>
      </c>
      <c r="E10" s="116" t="s">
        <v>1026</v>
      </c>
    </row>
    <row r="11" spans="1:5" ht="39.75" customHeight="1" x14ac:dyDescent="0.2">
      <c r="A11" s="117" t="s">
        <v>163</v>
      </c>
      <c r="B11" s="114" t="s">
        <v>1033</v>
      </c>
      <c r="C11" s="9" t="s">
        <v>1034</v>
      </c>
      <c r="D11" s="118" t="s">
        <v>1035</v>
      </c>
      <c r="E11" s="116" t="s">
        <v>1036</v>
      </c>
    </row>
    <row r="12" spans="1:5" ht="39.75" customHeight="1" x14ac:dyDescent="0.2">
      <c r="A12" s="117" t="s">
        <v>167</v>
      </c>
      <c r="B12" s="114" t="s">
        <v>960</v>
      </c>
      <c r="C12" s="9" t="s">
        <v>1288</v>
      </c>
      <c r="D12" s="118" t="s">
        <v>1289</v>
      </c>
      <c r="E12" s="116" t="s">
        <v>1036</v>
      </c>
    </row>
    <row r="13" spans="1:5" ht="39.75" customHeight="1" x14ac:dyDescent="0.2">
      <c r="A13" s="117" t="s">
        <v>678</v>
      </c>
      <c r="B13" s="114" t="s">
        <v>1037</v>
      </c>
      <c r="C13" s="9" t="s">
        <v>1290</v>
      </c>
      <c r="D13" s="118" t="s">
        <v>1291</v>
      </c>
      <c r="E13" s="116" t="s">
        <v>1036</v>
      </c>
    </row>
    <row r="14" spans="1:5" ht="39.75" customHeight="1" x14ac:dyDescent="0.2">
      <c r="A14" s="117" t="s">
        <v>888</v>
      </c>
      <c r="B14" s="114" t="s">
        <v>1038</v>
      </c>
      <c r="C14" s="9" t="s">
        <v>1292</v>
      </c>
      <c r="D14" s="118" t="s">
        <v>1293</v>
      </c>
      <c r="E14" s="116" t="s">
        <v>1036</v>
      </c>
    </row>
    <row r="15" spans="1:5" ht="39.75" customHeight="1" x14ac:dyDescent="0.2">
      <c r="A15" s="115" t="s">
        <v>1039</v>
      </c>
      <c r="B15" s="34" t="s">
        <v>1040</v>
      </c>
      <c r="C15" s="9" t="s">
        <v>1041</v>
      </c>
      <c r="D15" s="118" t="s">
        <v>1042</v>
      </c>
      <c r="E15" s="116" t="s">
        <v>1043</v>
      </c>
    </row>
    <row r="16" spans="1:5" ht="39.75" customHeight="1" x14ac:dyDescent="0.2">
      <c r="A16" s="117" t="s">
        <v>1044</v>
      </c>
      <c r="B16" s="114" t="s">
        <v>1045</v>
      </c>
      <c r="C16" s="9" t="s">
        <v>1046</v>
      </c>
      <c r="D16" s="118" t="s">
        <v>1047</v>
      </c>
      <c r="E16" s="116" t="s">
        <v>1045</v>
      </c>
    </row>
    <row r="17" spans="1:5" ht="39.75" customHeight="1" x14ac:dyDescent="0.2">
      <c r="A17" s="117" t="s">
        <v>1048</v>
      </c>
      <c r="B17" s="114" t="s">
        <v>1049</v>
      </c>
      <c r="C17" s="9" t="s">
        <v>1050</v>
      </c>
      <c r="D17" s="118" t="s">
        <v>1051</v>
      </c>
      <c r="E17" s="116" t="s">
        <v>1045</v>
      </c>
    </row>
    <row r="18" spans="1:5" ht="39.75" customHeight="1" x14ac:dyDescent="0.2">
      <c r="A18" s="117" t="s">
        <v>1052</v>
      </c>
      <c r="B18" s="114" t="s">
        <v>1053</v>
      </c>
      <c r="C18" s="9" t="s">
        <v>1054</v>
      </c>
      <c r="D18" s="118" t="s">
        <v>1055</v>
      </c>
      <c r="E18" s="116" t="s">
        <v>1056</v>
      </c>
    </row>
    <row r="20" spans="1:5" ht="39.75" customHeight="1" x14ac:dyDescent="0.2">
      <c r="A20" s="246" t="s">
        <v>1057</v>
      </c>
      <c r="B20" s="246"/>
      <c r="C20" s="246"/>
      <c r="D20" s="246"/>
      <c r="E20" s="246"/>
    </row>
  </sheetData>
  <mergeCells count="2">
    <mergeCell ref="A1:E1"/>
    <mergeCell ref="A20:E2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81"/>
  <sheetViews>
    <sheetView showGridLines="0" workbookViewId="0">
      <selection sqref="A1:H1"/>
    </sheetView>
  </sheetViews>
  <sheetFormatPr baseColWidth="10" defaultColWidth="8.83203125" defaultRowHeight="15" x14ac:dyDescent="0.2"/>
  <cols>
    <col min="1" max="1" width="26" style="159" customWidth="1"/>
    <col min="2" max="2" width="24" style="159" customWidth="1"/>
    <col min="3" max="4" width="16" style="159" customWidth="1"/>
    <col min="5" max="5" width="14" style="159" customWidth="1"/>
    <col min="6" max="6" width="16" style="159" customWidth="1"/>
    <col min="7" max="8" width="12" style="159" customWidth="1"/>
    <col min="9" max="16384" width="8.83203125" style="159"/>
  </cols>
  <sheetData>
    <row r="1" spans="1:8" ht="24" customHeight="1" x14ac:dyDescent="0.2">
      <c r="A1" s="249" t="s">
        <v>1058</v>
      </c>
      <c r="B1" s="248"/>
      <c r="C1" s="248"/>
      <c r="D1" s="248"/>
      <c r="E1" s="248"/>
      <c r="F1" s="248"/>
      <c r="G1" s="248"/>
      <c r="H1" s="248"/>
    </row>
    <row r="3" spans="1:8" x14ac:dyDescent="0.2">
      <c r="A3" s="247" t="s">
        <v>1059</v>
      </c>
      <c r="B3" s="248"/>
      <c r="C3" s="248"/>
      <c r="D3" s="248"/>
      <c r="E3" s="248"/>
      <c r="F3" s="248"/>
      <c r="G3" s="248"/>
    </row>
    <row r="4" spans="1:8" ht="30" customHeight="1" x14ac:dyDescent="0.2">
      <c r="A4" s="164" t="s">
        <v>330</v>
      </c>
      <c r="B4" s="164" t="s">
        <v>1060</v>
      </c>
      <c r="C4" s="164" t="s">
        <v>1061</v>
      </c>
      <c r="D4" s="164" t="s">
        <v>1062</v>
      </c>
      <c r="E4" s="164" t="s">
        <v>164</v>
      </c>
      <c r="F4" s="164" t="s">
        <v>1063</v>
      </c>
      <c r="G4" s="164" t="s">
        <v>1064</v>
      </c>
    </row>
    <row r="5" spans="1:8" x14ac:dyDescent="0.2">
      <c r="A5" s="163" t="s">
        <v>115</v>
      </c>
      <c r="B5" s="163" t="s">
        <v>129</v>
      </c>
      <c r="C5" s="160">
        <v>20.63</v>
      </c>
      <c r="D5" s="160">
        <v>54.24</v>
      </c>
      <c r="E5" s="160">
        <v>2.63</v>
      </c>
      <c r="F5" s="161">
        <v>5</v>
      </c>
      <c r="G5" s="161" t="s">
        <v>262</v>
      </c>
    </row>
    <row r="6" spans="1:8" x14ac:dyDescent="0.2">
      <c r="A6" s="163" t="s">
        <v>117</v>
      </c>
      <c r="B6" s="163" t="s">
        <v>133</v>
      </c>
      <c r="C6" s="160">
        <v>60.78</v>
      </c>
      <c r="D6" s="160">
        <v>48.2</v>
      </c>
      <c r="E6" s="160">
        <v>0.79</v>
      </c>
      <c r="F6" s="161" t="s">
        <v>1065</v>
      </c>
      <c r="G6" s="161" t="s">
        <v>1066</v>
      </c>
    </row>
    <row r="7" spans="1:8" x14ac:dyDescent="0.2">
      <c r="A7" s="163" t="s">
        <v>108</v>
      </c>
      <c r="B7" s="163" t="s">
        <v>126</v>
      </c>
      <c r="C7" s="160">
        <v>372.63</v>
      </c>
      <c r="D7" s="160">
        <v>122.85</v>
      </c>
      <c r="E7" s="160">
        <v>0.33</v>
      </c>
      <c r="F7" s="161" t="s">
        <v>1065</v>
      </c>
      <c r="G7" s="161" t="s">
        <v>1066</v>
      </c>
    </row>
    <row r="8" spans="1:8" x14ac:dyDescent="0.2">
      <c r="A8" s="163" t="s">
        <v>118</v>
      </c>
      <c r="B8" s="163" t="s">
        <v>124</v>
      </c>
      <c r="C8" s="160">
        <v>12.38</v>
      </c>
      <c r="D8" s="160">
        <v>14.15</v>
      </c>
      <c r="E8" s="160">
        <v>1.1399999999999999</v>
      </c>
      <c r="F8" s="161">
        <v>11</v>
      </c>
      <c r="G8" s="161" t="s">
        <v>262</v>
      </c>
    </row>
    <row r="9" spans="1:8" x14ac:dyDescent="0.2">
      <c r="A9" s="163" t="s">
        <v>113</v>
      </c>
      <c r="B9" s="163" t="s">
        <v>125</v>
      </c>
      <c r="C9" s="160">
        <v>93.36</v>
      </c>
      <c r="D9" s="160">
        <v>94.61</v>
      </c>
      <c r="E9" s="160">
        <v>1.01</v>
      </c>
      <c r="F9" s="161">
        <v>83</v>
      </c>
      <c r="G9" s="161" t="s">
        <v>262</v>
      </c>
    </row>
    <row r="10" spans="1:8" x14ac:dyDescent="0.2">
      <c r="A10" s="163" t="s">
        <v>110</v>
      </c>
      <c r="B10" s="163" t="s">
        <v>125</v>
      </c>
      <c r="C10" s="160">
        <v>209.31</v>
      </c>
      <c r="D10" s="160">
        <v>60.1</v>
      </c>
      <c r="E10" s="160">
        <v>0.28999999999999998</v>
      </c>
      <c r="F10" s="161" t="s">
        <v>1065</v>
      </c>
      <c r="G10" s="161" t="s">
        <v>1066</v>
      </c>
    </row>
    <row r="11" spans="1:8" x14ac:dyDescent="0.2">
      <c r="A11" s="163" t="s">
        <v>114</v>
      </c>
      <c r="B11" s="163" t="s">
        <v>126</v>
      </c>
      <c r="C11" s="160">
        <v>8.07</v>
      </c>
      <c r="D11" s="160">
        <v>28.2</v>
      </c>
      <c r="E11" s="160">
        <v>3.49</v>
      </c>
      <c r="F11" s="161">
        <v>2</v>
      </c>
      <c r="G11" s="161" t="s">
        <v>262</v>
      </c>
    </row>
    <row r="12" spans="1:8" x14ac:dyDescent="0.2">
      <c r="A12" s="163" t="s">
        <v>112</v>
      </c>
      <c r="B12" s="163" t="s">
        <v>122</v>
      </c>
      <c r="C12" s="160">
        <v>136.08000000000001</v>
      </c>
      <c r="D12" s="160">
        <v>42.47</v>
      </c>
      <c r="E12" s="160">
        <v>0.31</v>
      </c>
      <c r="F12" s="161" t="s">
        <v>1065</v>
      </c>
      <c r="G12" s="161" t="s">
        <v>1066</v>
      </c>
    </row>
    <row r="13" spans="1:8" x14ac:dyDescent="0.2">
      <c r="A13" s="163" t="s">
        <v>119</v>
      </c>
      <c r="B13" s="163" t="s">
        <v>122</v>
      </c>
      <c r="C13" s="160">
        <v>741.16</v>
      </c>
      <c r="D13" s="160">
        <v>265.83999999999997</v>
      </c>
      <c r="E13" s="160">
        <v>0.36</v>
      </c>
      <c r="F13" s="161" t="s">
        <v>1065</v>
      </c>
      <c r="G13" s="161" t="s">
        <v>1066</v>
      </c>
    </row>
    <row r="14" spans="1:8" x14ac:dyDescent="0.2">
      <c r="A14" s="163" t="s">
        <v>111</v>
      </c>
      <c r="B14" s="163" t="s">
        <v>125</v>
      </c>
      <c r="C14" s="160">
        <v>137.09</v>
      </c>
      <c r="D14" s="160">
        <v>135.43</v>
      </c>
      <c r="E14" s="160">
        <v>0.99</v>
      </c>
      <c r="F14" s="161" t="s">
        <v>1065</v>
      </c>
      <c r="G14" s="161" t="s">
        <v>1066</v>
      </c>
    </row>
    <row r="16" spans="1:8" x14ac:dyDescent="0.2">
      <c r="A16" s="247" t="s">
        <v>1067</v>
      </c>
      <c r="B16" s="248"/>
      <c r="C16" s="248"/>
      <c r="D16" s="248"/>
      <c r="E16" s="248"/>
      <c r="F16" s="248"/>
    </row>
    <row r="17" spans="1:8" ht="30" customHeight="1" x14ac:dyDescent="0.2">
      <c r="A17" s="164" t="s">
        <v>330</v>
      </c>
      <c r="B17" s="164" t="s">
        <v>1060</v>
      </c>
      <c r="C17" s="164" t="s">
        <v>1068</v>
      </c>
      <c r="D17" s="164" t="s">
        <v>1069</v>
      </c>
      <c r="E17" s="164" t="s">
        <v>1070</v>
      </c>
      <c r="F17" s="164" t="s">
        <v>827</v>
      </c>
    </row>
    <row r="18" spans="1:8" x14ac:dyDescent="0.2">
      <c r="A18" s="163" t="s">
        <v>110</v>
      </c>
      <c r="B18" s="163" t="s">
        <v>125</v>
      </c>
      <c r="C18" s="165">
        <v>26.5</v>
      </c>
      <c r="D18" s="165">
        <v>3.5</v>
      </c>
      <c r="E18" s="160">
        <v>0.28999999999999998</v>
      </c>
      <c r="F18" s="172" t="s">
        <v>828</v>
      </c>
    </row>
    <row r="19" spans="1:8" x14ac:dyDescent="0.2">
      <c r="A19" s="163" t="s">
        <v>112</v>
      </c>
      <c r="B19" s="163" t="s">
        <v>122</v>
      </c>
      <c r="C19" s="165">
        <v>37.119999999999997</v>
      </c>
      <c r="D19" s="165">
        <v>10.64</v>
      </c>
      <c r="E19" s="160">
        <v>0.31</v>
      </c>
      <c r="F19" s="172" t="s">
        <v>828</v>
      </c>
    </row>
    <row r="20" spans="1:8" x14ac:dyDescent="0.2">
      <c r="A20" s="163" t="s">
        <v>108</v>
      </c>
      <c r="B20" s="163" t="s">
        <v>126</v>
      </c>
      <c r="C20" s="165">
        <v>31.04</v>
      </c>
      <c r="D20" s="165">
        <v>11.54</v>
      </c>
      <c r="E20" s="160">
        <v>0.33</v>
      </c>
      <c r="F20" s="172" t="s">
        <v>828</v>
      </c>
    </row>
    <row r="21" spans="1:8" x14ac:dyDescent="0.2">
      <c r="A21" s="163" t="s">
        <v>119</v>
      </c>
      <c r="B21" s="163" t="s">
        <v>122</v>
      </c>
      <c r="C21" s="165">
        <v>38.31</v>
      </c>
      <c r="D21" s="165">
        <v>5.76</v>
      </c>
      <c r="E21" s="160">
        <v>0.36</v>
      </c>
      <c r="F21" s="172" t="s">
        <v>828</v>
      </c>
    </row>
    <row r="22" spans="1:8" x14ac:dyDescent="0.2">
      <c r="A22" s="163" t="s">
        <v>117</v>
      </c>
      <c r="B22" s="163" t="s">
        <v>133</v>
      </c>
      <c r="C22" s="165">
        <v>18.28</v>
      </c>
      <c r="D22" s="165">
        <v>7.93</v>
      </c>
      <c r="E22" s="160">
        <v>0.79</v>
      </c>
      <c r="F22" s="171" t="s">
        <v>829</v>
      </c>
    </row>
    <row r="23" spans="1:8" x14ac:dyDescent="0.2">
      <c r="A23" s="163" t="s">
        <v>111</v>
      </c>
      <c r="B23" s="163" t="s">
        <v>125</v>
      </c>
      <c r="C23" s="165">
        <v>17.239999999999998</v>
      </c>
      <c r="D23" s="165">
        <v>3.7</v>
      </c>
      <c r="E23" s="160">
        <v>0.99</v>
      </c>
      <c r="F23" s="170" t="s">
        <v>830</v>
      </c>
    </row>
    <row r="24" spans="1:8" x14ac:dyDescent="0.2">
      <c r="A24" s="163" t="s">
        <v>113</v>
      </c>
      <c r="B24" s="163" t="s">
        <v>125</v>
      </c>
      <c r="C24" s="165">
        <v>24.6</v>
      </c>
      <c r="D24" s="165">
        <v>4.3899999999999997</v>
      </c>
      <c r="E24" s="160">
        <v>1.01</v>
      </c>
      <c r="F24" s="170" t="s">
        <v>830</v>
      </c>
    </row>
    <row r="25" spans="1:8" x14ac:dyDescent="0.2">
      <c r="A25" s="163" t="s">
        <v>118</v>
      </c>
      <c r="B25" s="163" t="s">
        <v>124</v>
      </c>
      <c r="C25" s="165">
        <v>41.19</v>
      </c>
      <c r="D25" s="165">
        <v>31.19</v>
      </c>
      <c r="E25" s="160">
        <v>1.1399999999999999</v>
      </c>
      <c r="F25" s="170" t="s">
        <v>830</v>
      </c>
    </row>
    <row r="26" spans="1:8" x14ac:dyDescent="0.2">
      <c r="A26" s="163" t="s">
        <v>115</v>
      </c>
      <c r="B26" s="163" t="s">
        <v>129</v>
      </c>
      <c r="C26" s="165">
        <v>14.08</v>
      </c>
      <c r="D26" s="165">
        <v>31.27</v>
      </c>
      <c r="E26" s="160">
        <v>2.63</v>
      </c>
      <c r="F26" s="170" t="s">
        <v>830</v>
      </c>
    </row>
    <row r="27" spans="1:8" x14ac:dyDescent="0.2">
      <c r="A27" s="163" t="s">
        <v>114</v>
      </c>
      <c r="B27" s="163" t="s">
        <v>126</v>
      </c>
      <c r="C27" s="165">
        <v>13.77</v>
      </c>
      <c r="D27" s="165">
        <v>33.880000000000003</v>
      </c>
      <c r="E27" s="160">
        <v>3.49</v>
      </c>
      <c r="F27" s="170" t="s">
        <v>830</v>
      </c>
    </row>
    <row r="29" spans="1:8" x14ac:dyDescent="0.2">
      <c r="A29" s="247" t="s">
        <v>1071</v>
      </c>
      <c r="B29" s="248"/>
      <c r="C29" s="248"/>
      <c r="D29" s="248"/>
      <c r="E29" s="248"/>
      <c r="F29" s="248"/>
      <c r="G29" s="248"/>
      <c r="H29" s="248"/>
    </row>
    <row r="30" spans="1:8" ht="30" customHeight="1" x14ac:dyDescent="0.2">
      <c r="A30" s="164" t="s">
        <v>330</v>
      </c>
      <c r="B30" s="164" t="s">
        <v>1060</v>
      </c>
      <c r="C30" s="164" t="s">
        <v>1072</v>
      </c>
      <c r="D30" s="164" t="s">
        <v>809</v>
      </c>
      <c r="E30" s="164" t="s">
        <v>1073</v>
      </c>
      <c r="F30" s="164" t="s">
        <v>1074</v>
      </c>
      <c r="G30" s="164" t="s">
        <v>1075</v>
      </c>
      <c r="H30" s="164" t="s">
        <v>1076</v>
      </c>
    </row>
    <row r="31" spans="1:8" x14ac:dyDescent="0.2">
      <c r="A31" s="163" t="s">
        <v>108</v>
      </c>
      <c r="B31" s="163" t="s">
        <v>126</v>
      </c>
      <c r="C31" s="160">
        <v>372.63</v>
      </c>
      <c r="D31" s="160">
        <v>122.85</v>
      </c>
      <c r="E31" s="161" t="s">
        <v>1077</v>
      </c>
      <c r="F31" s="161" t="s">
        <v>1078</v>
      </c>
      <c r="G31" s="161" t="s">
        <v>1078</v>
      </c>
      <c r="H31" s="161" t="s">
        <v>1078</v>
      </c>
    </row>
    <row r="32" spans="1:8" x14ac:dyDescent="0.2">
      <c r="A32" s="163" t="s">
        <v>110</v>
      </c>
      <c r="B32" s="163" t="s">
        <v>125</v>
      </c>
      <c r="C32" s="160">
        <v>209.31</v>
      </c>
      <c r="D32" s="160">
        <v>60.1</v>
      </c>
      <c r="E32" s="161" t="s">
        <v>1077</v>
      </c>
      <c r="F32" s="161" t="s">
        <v>1078</v>
      </c>
      <c r="G32" s="161" t="s">
        <v>1078</v>
      </c>
      <c r="H32" s="161" t="s">
        <v>1078</v>
      </c>
    </row>
    <row r="33" spans="1:8" x14ac:dyDescent="0.2">
      <c r="A33" s="163" t="s">
        <v>111</v>
      </c>
      <c r="B33" s="163" t="s">
        <v>125</v>
      </c>
      <c r="C33" s="160">
        <v>137.09</v>
      </c>
      <c r="D33" s="160">
        <v>135.43</v>
      </c>
      <c r="E33" s="161" t="s">
        <v>1077</v>
      </c>
      <c r="F33" s="161" t="s">
        <v>1077</v>
      </c>
      <c r="G33" s="161" t="s">
        <v>1077</v>
      </c>
      <c r="H33" s="161" t="s">
        <v>1078</v>
      </c>
    </row>
    <row r="34" spans="1:8" x14ac:dyDescent="0.2">
      <c r="A34" s="163" t="s">
        <v>112</v>
      </c>
      <c r="B34" s="163" t="s">
        <v>122</v>
      </c>
      <c r="C34" s="160">
        <v>136.08000000000001</v>
      </c>
      <c r="D34" s="160">
        <v>42.47</v>
      </c>
      <c r="E34" s="161" t="s">
        <v>1077</v>
      </c>
      <c r="F34" s="161" t="s">
        <v>1078</v>
      </c>
      <c r="G34" s="161" t="s">
        <v>1078</v>
      </c>
      <c r="H34" s="161" t="s">
        <v>1078</v>
      </c>
    </row>
    <row r="35" spans="1:8" x14ac:dyDescent="0.2">
      <c r="A35" s="163" t="s">
        <v>113</v>
      </c>
      <c r="B35" s="163" t="s">
        <v>125</v>
      </c>
      <c r="C35" s="160">
        <v>93.36</v>
      </c>
      <c r="D35" s="160">
        <v>94.61</v>
      </c>
      <c r="E35" s="161" t="s">
        <v>1077</v>
      </c>
      <c r="F35" s="161" t="s">
        <v>1077</v>
      </c>
      <c r="G35" s="161" t="s">
        <v>1077</v>
      </c>
      <c r="H35" s="161" t="s">
        <v>1077</v>
      </c>
    </row>
    <row r="36" spans="1:8" x14ac:dyDescent="0.2">
      <c r="A36" s="163" t="s">
        <v>119</v>
      </c>
      <c r="B36" s="163" t="s">
        <v>122</v>
      </c>
      <c r="C36" s="160">
        <v>741.16</v>
      </c>
      <c r="D36" s="160">
        <v>265.83999999999997</v>
      </c>
      <c r="E36" s="161" t="s">
        <v>1077</v>
      </c>
      <c r="F36" s="161" t="s">
        <v>1077</v>
      </c>
      <c r="G36" s="161" t="s">
        <v>1078</v>
      </c>
      <c r="H36" s="161" t="s">
        <v>1078</v>
      </c>
    </row>
    <row r="37" spans="1:8" x14ac:dyDescent="0.2">
      <c r="A37" s="163" t="s">
        <v>117</v>
      </c>
      <c r="B37" s="163" t="s">
        <v>133</v>
      </c>
      <c r="C37" s="160">
        <v>60.78</v>
      </c>
      <c r="D37" s="160">
        <v>48.2</v>
      </c>
      <c r="E37" s="161" t="s">
        <v>1077</v>
      </c>
      <c r="F37" s="161" t="s">
        <v>1077</v>
      </c>
      <c r="G37" s="161" t="s">
        <v>1077</v>
      </c>
      <c r="H37" s="161" t="s">
        <v>1078</v>
      </c>
    </row>
    <row r="38" spans="1:8" x14ac:dyDescent="0.2">
      <c r="A38" s="163" t="s">
        <v>114</v>
      </c>
      <c r="B38" s="163" t="s">
        <v>126</v>
      </c>
      <c r="C38" s="160">
        <v>8.07</v>
      </c>
      <c r="D38" s="160">
        <v>28.2</v>
      </c>
      <c r="E38" s="161" t="s">
        <v>1077</v>
      </c>
      <c r="F38" s="161" t="s">
        <v>1077</v>
      </c>
      <c r="G38" s="161" t="s">
        <v>1077</v>
      </c>
      <c r="H38" s="161" t="s">
        <v>1077</v>
      </c>
    </row>
    <row r="39" spans="1:8" x14ac:dyDescent="0.2">
      <c r="A39" s="163" t="s">
        <v>118</v>
      </c>
      <c r="B39" s="163" t="s">
        <v>124</v>
      </c>
      <c r="C39" s="160">
        <v>12.38</v>
      </c>
      <c r="D39" s="160">
        <v>14.15</v>
      </c>
      <c r="E39" s="161" t="s">
        <v>1077</v>
      </c>
      <c r="F39" s="161" t="s">
        <v>1077</v>
      </c>
      <c r="G39" s="161" t="s">
        <v>1077</v>
      </c>
      <c r="H39" s="161" t="s">
        <v>1077</v>
      </c>
    </row>
    <row r="40" spans="1:8" x14ac:dyDescent="0.2">
      <c r="A40" s="163" t="s">
        <v>115</v>
      </c>
      <c r="B40" s="163" t="s">
        <v>129</v>
      </c>
      <c r="C40" s="160">
        <v>20.63</v>
      </c>
      <c r="D40" s="160">
        <v>54.24</v>
      </c>
      <c r="E40" s="161" t="s">
        <v>1077</v>
      </c>
      <c r="F40" s="161" t="s">
        <v>1077</v>
      </c>
      <c r="G40" s="161" t="s">
        <v>1077</v>
      </c>
      <c r="H40" s="161" t="s">
        <v>1077</v>
      </c>
    </row>
    <row r="42" spans="1:8" x14ac:dyDescent="0.2">
      <c r="A42" s="247" t="s">
        <v>1079</v>
      </c>
      <c r="B42" s="248"/>
      <c r="C42" s="248"/>
      <c r="D42" s="248"/>
    </row>
    <row r="43" spans="1:8" ht="30" customHeight="1" x14ac:dyDescent="0.2">
      <c r="A43" s="164" t="s">
        <v>330</v>
      </c>
      <c r="B43" s="164" t="s">
        <v>827</v>
      </c>
      <c r="C43" s="164" t="s">
        <v>1080</v>
      </c>
    </row>
    <row r="44" spans="1:8" x14ac:dyDescent="0.2">
      <c r="A44" s="163" t="s">
        <v>108</v>
      </c>
      <c r="B44" s="169" t="s">
        <v>828</v>
      </c>
      <c r="C44" s="161" t="s">
        <v>1081</v>
      </c>
    </row>
    <row r="45" spans="1:8" x14ac:dyDescent="0.2">
      <c r="A45" s="163" t="s">
        <v>110</v>
      </c>
      <c r="B45" s="169" t="s">
        <v>828</v>
      </c>
      <c r="C45" s="161" t="s">
        <v>1081</v>
      </c>
    </row>
    <row r="46" spans="1:8" x14ac:dyDescent="0.2">
      <c r="A46" s="163" t="s">
        <v>111</v>
      </c>
      <c r="B46" s="167" t="s">
        <v>830</v>
      </c>
      <c r="C46" s="161" t="s">
        <v>1082</v>
      </c>
    </row>
    <row r="47" spans="1:8" x14ac:dyDescent="0.2">
      <c r="A47" s="163" t="s">
        <v>112</v>
      </c>
      <c r="B47" s="169" t="s">
        <v>828</v>
      </c>
      <c r="C47" s="161" t="s">
        <v>1081</v>
      </c>
    </row>
    <row r="48" spans="1:8" x14ac:dyDescent="0.2">
      <c r="A48" s="163" t="s">
        <v>113</v>
      </c>
      <c r="B48" s="167" t="s">
        <v>830</v>
      </c>
      <c r="C48" s="161" t="s">
        <v>1082</v>
      </c>
    </row>
    <row r="49" spans="1:5" x14ac:dyDescent="0.2">
      <c r="A49" s="163" t="s">
        <v>119</v>
      </c>
      <c r="B49" s="169" t="s">
        <v>828</v>
      </c>
      <c r="C49" s="161" t="s">
        <v>1082</v>
      </c>
    </row>
    <row r="50" spans="1:5" x14ac:dyDescent="0.2">
      <c r="A50" s="163" t="s">
        <v>117</v>
      </c>
      <c r="B50" s="168" t="s">
        <v>829</v>
      </c>
      <c r="C50" s="161" t="s">
        <v>1082</v>
      </c>
    </row>
    <row r="51" spans="1:5" x14ac:dyDescent="0.2">
      <c r="A51" s="163" t="s">
        <v>114</v>
      </c>
      <c r="B51" s="167" t="s">
        <v>830</v>
      </c>
      <c r="C51" s="161" t="s">
        <v>1082</v>
      </c>
    </row>
    <row r="52" spans="1:5" x14ac:dyDescent="0.2">
      <c r="A52" s="163" t="s">
        <v>118</v>
      </c>
      <c r="B52" s="167" t="s">
        <v>830</v>
      </c>
      <c r="C52" s="161" t="s">
        <v>1082</v>
      </c>
    </row>
    <row r="53" spans="1:5" x14ac:dyDescent="0.2">
      <c r="A53" s="163" t="s">
        <v>115</v>
      </c>
      <c r="B53" s="167" t="s">
        <v>830</v>
      </c>
      <c r="C53" s="161" t="s">
        <v>1082</v>
      </c>
    </row>
    <row r="55" spans="1:5" x14ac:dyDescent="0.2">
      <c r="A55" s="247" t="s">
        <v>1083</v>
      </c>
      <c r="B55" s="248"/>
      <c r="C55" s="248"/>
      <c r="D55" s="248"/>
      <c r="E55" s="248"/>
    </row>
    <row r="56" spans="1:5" ht="30" customHeight="1" x14ac:dyDescent="0.2">
      <c r="A56" s="164" t="s">
        <v>330</v>
      </c>
      <c r="B56" s="164" t="s">
        <v>1060</v>
      </c>
      <c r="C56" s="164" t="s">
        <v>1084</v>
      </c>
      <c r="D56" s="164" t="s">
        <v>1085</v>
      </c>
      <c r="E56" s="164" t="s">
        <v>1086</v>
      </c>
    </row>
    <row r="57" spans="1:5" x14ac:dyDescent="0.2">
      <c r="A57" s="163" t="s">
        <v>108</v>
      </c>
      <c r="B57" s="163" t="s">
        <v>126</v>
      </c>
      <c r="C57" s="165">
        <v>-12.66</v>
      </c>
      <c r="D57" s="166">
        <v>2012</v>
      </c>
      <c r="E57" s="165">
        <v>11.54</v>
      </c>
    </row>
    <row r="58" spans="1:5" x14ac:dyDescent="0.2">
      <c r="A58" s="163" t="s">
        <v>110</v>
      </c>
      <c r="B58" s="163" t="s">
        <v>125</v>
      </c>
      <c r="C58" s="165">
        <v>-7.95</v>
      </c>
      <c r="D58" s="166">
        <v>2003</v>
      </c>
      <c r="E58" s="165">
        <v>3.5</v>
      </c>
    </row>
    <row r="59" spans="1:5" x14ac:dyDescent="0.2">
      <c r="A59" s="163" t="s">
        <v>111</v>
      </c>
      <c r="B59" s="163" t="s">
        <v>125</v>
      </c>
      <c r="C59" s="165">
        <v>-5.78</v>
      </c>
      <c r="D59" s="166">
        <v>2001</v>
      </c>
      <c r="E59" s="165">
        <v>3.7</v>
      </c>
    </row>
    <row r="60" spans="1:5" x14ac:dyDescent="0.2">
      <c r="A60" s="163" t="s">
        <v>112</v>
      </c>
      <c r="B60" s="163" t="s">
        <v>122</v>
      </c>
      <c r="C60" s="165">
        <v>-11.98</v>
      </c>
      <c r="D60" s="166">
        <v>2012</v>
      </c>
      <c r="E60" s="165">
        <v>10.64</v>
      </c>
    </row>
    <row r="61" spans="1:5" x14ac:dyDescent="0.2">
      <c r="A61" s="163" t="s">
        <v>113</v>
      </c>
      <c r="B61" s="163" t="s">
        <v>125</v>
      </c>
      <c r="C61" s="165">
        <v>-9.01</v>
      </c>
      <c r="D61" s="166">
        <v>2006</v>
      </c>
      <c r="E61" s="165">
        <v>4.3899999999999997</v>
      </c>
    </row>
    <row r="62" spans="1:5" x14ac:dyDescent="0.2">
      <c r="A62" s="163" t="s">
        <v>119</v>
      </c>
      <c r="B62" s="163" t="s">
        <v>122</v>
      </c>
      <c r="C62" s="165">
        <v>-5.34</v>
      </c>
      <c r="D62" s="166">
        <v>2021</v>
      </c>
      <c r="E62" s="165">
        <v>5.76</v>
      </c>
    </row>
    <row r="63" spans="1:5" x14ac:dyDescent="0.2">
      <c r="A63" s="163" t="s">
        <v>117</v>
      </c>
      <c r="B63" s="163" t="s">
        <v>133</v>
      </c>
      <c r="C63" s="165">
        <v>-17.41</v>
      </c>
      <c r="D63" s="166">
        <v>2009</v>
      </c>
      <c r="E63" s="165">
        <v>7.93</v>
      </c>
    </row>
    <row r="64" spans="1:5" x14ac:dyDescent="0.2">
      <c r="A64" s="163" t="s">
        <v>114</v>
      </c>
      <c r="B64" s="163" t="s">
        <v>126</v>
      </c>
      <c r="C64" s="165">
        <v>-58.07</v>
      </c>
      <c r="D64" s="166">
        <v>2022</v>
      </c>
      <c r="E64" s="165">
        <v>33.880000000000003</v>
      </c>
    </row>
    <row r="65" spans="1:5" x14ac:dyDescent="0.2">
      <c r="A65" s="163" t="s">
        <v>118</v>
      </c>
      <c r="B65" s="163" t="s">
        <v>124</v>
      </c>
      <c r="C65" s="165">
        <v>-42.06</v>
      </c>
      <c r="D65" s="166">
        <v>2002</v>
      </c>
      <c r="E65" s="165">
        <v>31.19</v>
      </c>
    </row>
    <row r="66" spans="1:5" x14ac:dyDescent="0.2">
      <c r="A66" s="163" t="s">
        <v>115</v>
      </c>
      <c r="B66" s="163" t="s">
        <v>129</v>
      </c>
      <c r="C66" s="165">
        <v>-53.3</v>
      </c>
      <c r="D66" s="166">
        <v>2010</v>
      </c>
      <c r="E66" s="165">
        <v>31.27</v>
      </c>
    </row>
    <row r="68" spans="1:5" x14ac:dyDescent="0.2">
      <c r="A68" s="247" t="s">
        <v>1087</v>
      </c>
      <c r="B68" s="248"/>
      <c r="C68" s="248"/>
      <c r="D68" s="248"/>
    </row>
    <row r="69" spans="1:5" ht="30" customHeight="1" x14ac:dyDescent="0.2">
      <c r="A69" s="164" t="s">
        <v>1088</v>
      </c>
      <c r="B69" s="164" t="s">
        <v>1089</v>
      </c>
      <c r="C69" s="164" t="s">
        <v>318</v>
      </c>
      <c r="D69" s="164" t="s">
        <v>1090</v>
      </c>
    </row>
    <row r="70" spans="1:5" x14ac:dyDescent="0.2">
      <c r="A70" s="163" t="s">
        <v>108</v>
      </c>
      <c r="B70" s="162">
        <v>1</v>
      </c>
      <c r="C70" s="161" t="s">
        <v>122</v>
      </c>
      <c r="D70" s="160">
        <v>21.96</v>
      </c>
    </row>
    <row r="71" spans="1:5" x14ac:dyDescent="0.2">
      <c r="A71" s="163" t="s">
        <v>108</v>
      </c>
      <c r="B71" s="162">
        <v>2</v>
      </c>
      <c r="C71" s="161" t="s">
        <v>747</v>
      </c>
      <c r="D71" s="160">
        <v>10.26</v>
      </c>
    </row>
    <row r="72" spans="1:5" x14ac:dyDescent="0.2">
      <c r="A72" s="163" t="s">
        <v>108</v>
      </c>
      <c r="B72" s="162">
        <v>3</v>
      </c>
      <c r="C72" s="161" t="s">
        <v>125</v>
      </c>
      <c r="D72" s="160">
        <v>9.31</v>
      </c>
    </row>
    <row r="73" spans="1:5" x14ac:dyDescent="0.2">
      <c r="A73" s="163" t="s">
        <v>110</v>
      </c>
      <c r="B73" s="162">
        <v>1</v>
      </c>
      <c r="C73" s="161" t="s">
        <v>124</v>
      </c>
      <c r="D73" s="160">
        <v>8.93</v>
      </c>
    </row>
    <row r="74" spans="1:5" x14ac:dyDescent="0.2">
      <c r="A74" s="163" t="s">
        <v>110</v>
      </c>
      <c r="B74" s="162">
        <v>2</v>
      </c>
      <c r="C74" s="161" t="s">
        <v>747</v>
      </c>
      <c r="D74" s="160">
        <v>6.65</v>
      </c>
    </row>
    <row r="75" spans="1:5" x14ac:dyDescent="0.2">
      <c r="A75" s="163" t="s">
        <v>110</v>
      </c>
      <c r="B75" s="162">
        <v>3</v>
      </c>
      <c r="C75" s="161" t="s">
        <v>131</v>
      </c>
      <c r="D75" s="160">
        <v>6.52</v>
      </c>
    </row>
    <row r="76" spans="1:5" x14ac:dyDescent="0.2">
      <c r="A76" s="163" t="s">
        <v>112</v>
      </c>
      <c r="B76" s="162">
        <v>1</v>
      </c>
      <c r="C76" s="161" t="s">
        <v>134</v>
      </c>
      <c r="D76" s="160">
        <v>23.07</v>
      </c>
    </row>
    <row r="77" spans="1:5" x14ac:dyDescent="0.2">
      <c r="A77" s="163" t="s">
        <v>112</v>
      </c>
      <c r="B77" s="162">
        <v>2</v>
      </c>
      <c r="C77" s="161" t="s">
        <v>126</v>
      </c>
      <c r="D77" s="160">
        <v>4.5</v>
      </c>
    </row>
    <row r="78" spans="1:5" x14ac:dyDescent="0.2">
      <c r="A78" s="163" t="s">
        <v>112</v>
      </c>
      <c r="B78" s="162">
        <v>3</v>
      </c>
      <c r="C78" s="161" t="s">
        <v>764</v>
      </c>
      <c r="D78" s="160">
        <v>2.39</v>
      </c>
    </row>
    <row r="79" spans="1:5" x14ac:dyDescent="0.2">
      <c r="A79" s="163" t="s">
        <v>119</v>
      </c>
      <c r="B79" s="162">
        <v>1</v>
      </c>
      <c r="C79" s="161" t="s">
        <v>131</v>
      </c>
      <c r="D79" s="160">
        <v>50.78</v>
      </c>
    </row>
    <row r="80" spans="1:5" x14ac:dyDescent="0.2">
      <c r="A80" s="163" t="s">
        <v>119</v>
      </c>
      <c r="B80" s="162">
        <v>2</v>
      </c>
      <c r="C80" s="161" t="s">
        <v>124</v>
      </c>
      <c r="D80" s="160">
        <v>45.41</v>
      </c>
    </row>
    <row r="81" spans="1:4" x14ac:dyDescent="0.2">
      <c r="A81" s="163" t="s">
        <v>119</v>
      </c>
      <c r="B81" s="162">
        <v>3</v>
      </c>
      <c r="C81" s="161" t="s">
        <v>1091</v>
      </c>
      <c r="D81" s="160">
        <v>28.96</v>
      </c>
    </row>
  </sheetData>
  <mergeCells count="7">
    <mergeCell ref="A68:D68"/>
    <mergeCell ref="A1:H1"/>
    <mergeCell ref="A3:G3"/>
    <mergeCell ref="A16:F16"/>
    <mergeCell ref="A29:H29"/>
    <mergeCell ref="A42:D42"/>
    <mergeCell ref="A55:E5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6337778862885"/>
  </sheetPr>
  <dimension ref="A1:F30"/>
  <sheetViews>
    <sheetView showGridLines="0" tabSelected="1" topLeftCell="C23" zoomScale="150" workbookViewId="0">
      <selection activeCell="D30" sqref="D30"/>
    </sheetView>
  </sheetViews>
  <sheetFormatPr baseColWidth="10" defaultColWidth="8.6640625" defaultRowHeight="15" x14ac:dyDescent="0.2"/>
  <cols>
    <col min="1" max="1" width="12" style="23" customWidth="1"/>
    <col min="2" max="2" width="18.5" style="23" customWidth="1"/>
    <col min="3" max="3" width="6.33203125" style="23" customWidth="1"/>
    <col min="4" max="4" width="52.6640625" style="23" customWidth="1"/>
    <col min="5" max="5" width="20.1640625" style="23" customWidth="1"/>
    <col min="6" max="16384" width="8.6640625" style="23"/>
  </cols>
  <sheetData>
    <row r="1" spans="1:6" ht="17" x14ac:dyDescent="0.2">
      <c r="A1" s="251" t="s">
        <v>1092</v>
      </c>
      <c r="B1" s="251"/>
      <c r="C1" s="251"/>
      <c r="D1" s="251"/>
      <c r="E1" s="120"/>
    </row>
    <row r="3" spans="1:6" ht="17" x14ac:dyDescent="0.2">
      <c r="A3" s="251" t="s">
        <v>1093</v>
      </c>
      <c r="B3" s="251"/>
      <c r="C3" s="251"/>
      <c r="D3" s="251"/>
      <c r="E3" s="251"/>
      <c r="F3" s="251"/>
    </row>
    <row r="4" spans="1:6" ht="15" customHeight="1" x14ac:dyDescent="0.2">
      <c r="A4" s="252" t="s">
        <v>1094</v>
      </c>
      <c r="B4" s="252"/>
      <c r="C4" s="252"/>
      <c r="D4" s="252"/>
      <c r="E4" s="252"/>
      <c r="F4" s="252"/>
    </row>
    <row r="6" spans="1:6" x14ac:dyDescent="0.2">
      <c r="A6" s="124" t="s">
        <v>1095</v>
      </c>
      <c r="B6" s="121" t="s">
        <v>1096</v>
      </c>
      <c r="C6" s="124" t="s">
        <v>1097</v>
      </c>
      <c r="D6" s="121" t="s">
        <v>1098</v>
      </c>
      <c r="E6" s="121" t="s">
        <v>1099</v>
      </c>
    </row>
    <row r="7" spans="1:6" ht="78" x14ac:dyDescent="0.2">
      <c r="A7" s="125"/>
      <c r="B7" s="126" t="s">
        <v>1100</v>
      </c>
      <c r="C7" s="127" t="s">
        <v>1101</v>
      </c>
      <c r="D7" s="123" t="s">
        <v>1102</v>
      </c>
      <c r="E7" s="123"/>
    </row>
    <row r="8" spans="1:6" ht="65" x14ac:dyDescent="0.2">
      <c r="A8" s="128"/>
      <c r="B8" s="129" t="s">
        <v>1103</v>
      </c>
      <c r="C8" s="130" t="s">
        <v>1104</v>
      </c>
      <c r="D8" s="9" t="s">
        <v>1372</v>
      </c>
      <c r="E8" s="123"/>
    </row>
    <row r="9" spans="1:6" ht="26" x14ac:dyDescent="0.2">
      <c r="A9" s="122"/>
      <c r="B9" s="122" t="s">
        <v>1105</v>
      </c>
      <c r="C9" s="132" t="s">
        <v>1106</v>
      </c>
      <c r="D9" s="9" t="s">
        <v>1373</v>
      </c>
      <c r="E9" s="123"/>
    </row>
    <row r="10" spans="1:6" ht="78" x14ac:dyDescent="0.2">
      <c r="A10" s="122"/>
      <c r="B10" s="122" t="s">
        <v>1107</v>
      </c>
      <c r="C10" s="132" t="s">
        <v>1106</v>
      </c>
      <c r="D10" s="9" t="s">
        <v>1374</v>
      </c>
      <c r="E10" s="123"/>
    </row>
    <row r="11" spans="1:6" ht="36" customHeight="1" x14ac:dyDescent="0.2">
      <c r="A11" s="127"/>
      <c r="B11" s="127" t="s">
        <v>1108</v>
      </c>
      <c r="C11" s="127" t="s">
        <v>1101</v>
      </c>
      <c r="D11" s="9" t="s">
        <v>1109</v>
      </c>
      <c r="E11" s="123"/>
    </row>
    <row r="12" spans="1:6" ht="260" x14ac:dyDescent="0.2">
      <c r="A12" s="127"/>
      <c r="B12" s="127" t="s">
        <v>1110</v>
      </c>
      <c r="C12" s="127" t="s">
        <v>1101</v>
      </c>
      <c r="D12" s="9" t="s">
        <v>1380</v>
      </c>
      <c r="E12" s="123"/>
    </row>
    <row r="13" spans="1:6" ht="104" x14ac:dyDescent="0.2">
      <c r="A13" s="131"/>
      <c r="B13" s="122" t="s">
        <v>1111</v>
      </c>
      <c r="C13" s="132" t="s">
        <v>1106</v>
      </c>
      <c r="D13" s="9" t="s">
        <v>1375</v>
      </c>
      <c r="E13" s="123"/>
    </row>
    <row r="14" spans="1:6" ht="245" customHeight="1" x14ac:dyDescent="0.2">
      <c r="A14" s="127"/>
      <c r="B14" s="127" t="s">
        <v>709</v>
      </c>
      <c r="C14" s="127" t="s">
        <v>1101</v>
      </c>
      <c r="D14" s="9" t="s">
        <v>1381</v>
      </c>
      <c r="E14" s="123"/>
    </row>
    <row r="15" spans="1:6" ht="39" x14ac:dyDescent="0.2">
      <c r="A15" s="127"/>
      <c r="B15" s="127" t="s">
        <v>709</v>
      </c>
      <c r="C15" s="127" t="s">
        <v>1101</v>
      </c>
      <c r="D15" s="9" t="s">
        <v>1382</v>
      </c>
      <c r="E15" s="123"/>
    </row>
    <row r="16" spans="1:6" ht="26" x14ac:dyDescent="0.2">
      <c r="A16" s="122"/>
      <c r="B16" s="122" t="s">
        <v>1112</v>
      </c>
      <c r="C16" s="132" t="s">
        <v>1106</v>
      </c>
      <c r="D16" s="9" t="s">
        <v>1376</v>
      </c>
      <c r="E16" s="123"/>
    </row>
    <row r="17" spans="1:6" ht="52" x14ac:dyDescent="0.2">
      <c r="A17" s="131"/>
      <c r="B17" s="122" t="s">
        <v>1113</v>
      </c>
      <c r="C17" s="132" t="s">
        <v>1106</v>
      </c>
      <c r="D17" s="9" t="s">
        <v>1383</v>
      </c>
      <c r="E17" s="123"/>
    </row>
    <row r="18" spans="1:6" ht="117" x14ac:dyDescent="0.2">
      <c r="A18" s="127"/>
      <c r="B18" s="127" t="s">
        <v>1113</v>
      </c>
      <c r="C18" s="127" t="s">
        <v>1101</v>
      </c>
      <c r="D18" s="9" t="s">
        <v>1384</v>
      </c>
      <c r="E18" s="123"/>
    </row>
    <row r="19" spans="1:6" ht="39" x14ac:dyDescent="0.2">
      <c r="A19" s="127"/>
      <c r="B19" s="127" t="s">
        <v>1114</v>
      </c>
      <c r="C19" s="127" t="s">
        <v>1101</v>
      </c>
      <c r="D19" s="9" t="s">
        <v>1377</v>
      </c>
      <c r="E19" s="123"/>
    </row>
    <row r="20" spans="1:6" ht="208" x14ac:dyDescent="0.2">
      <c r="A20" s="131"/>
      <c r="B20" s="122" t="s">
        <v>1114</v>
      </c>
      <c r="C20" s="132" t="s">
        <v>1106</v>
      </c>
      <c r="D20" s="9" t="s">
        <v>1385</v>
      </c>
      <c r="E20" s="123"/>
    </row>
    <row r="21" spans="1:6" ht="26" x14ac:dyDescent="0.2">
      <c r="A21" s="125"/>
      <c r="B21" s="126" t="s">
        <v>1115</v>
      </c>
      <c r="C21" s="127" t="s">
        <v>1101</v>
      </c>
      <c r="D21" s="123" t="s">
        <v>1116</v>
      </c>
      <c r="E21" s="123"/>
    </row>
    <row r="22" spans="1:6" ht="52" x14ac:dyDescent="0.2">
      <c r="A22" s="125"/>
      <c r="B22" s="126" t="s">
        <v>1117</v>
      </c>
      <c r="C22" s="127" t="s">
        <v>1101</v>
      </c>
      <c r="D22" s="9" t="s">
        <v>1378</v>
      </c>
      <c r="E22" s="123"/>
    </row>
    <row r="23" spans="1:6" ht="65" x14ac:dyDescent="0.2">
      <c r="A23" s="131"/>
      <c r="B23" s="122" t="s">
        <v>1118</v>
      </c>
      <c r="C23" s="132" t="s">
        <v>1106</v>
      </c>
      <c r="D23" s="9" t="s">
        <v>1379</v>
      </c>
      <c r="E23" s="123"/>
    </row>
    <row r="24" spans="1:6" ht="78" x14ac:dyDescent="0.2">
      <c r="A24" s="125"/>
      <c r="B24" s="126" t="s">
        <v>1119</v>
      </c>
      <c r="C24" s="127" t="s">
        <v>1101</v>
      </c>
      <c r="D24" s="123" t="s">
        <v>1120</v>
      </c>
      <c r="E24" s="123"/>
    </row>
    <row r="25" spans="1:6" ht="91" x14ac:dyDescent="0.2">
      <c r="A25" s="125"/>
      <c r="B25" s="126" t="s">
        <v>1121</v>
      </c>
      <c r="C25" s="127" t="s">
        <v>1101</v>
      </c>
      <c r="D25" s="123" t="s">
        <v>1122</v>
      </c>
      <c r="E25" s="123"/>
    </row>
    <row r="26" spans="1:6" ht="39" x14ac:dyDescent="0.2">
      <c r="A26" s="128"/>
      <c r="B26" s="129" t="s">
        <v>1123</v>
      </c>
      <c r="C26" s="130" t="s">
        <v>61</v>
      </c>
      <c r="D26" s="123" t="s">
        <v>1124</v>
      </c>
      <c r="E26" s="123" t="s">
        <v>1124</v>
      </c>
    </row>
    <row r="28" spans="1:6" x14ac:dyDescent="0.2">
      <c r="A28" s="250" t="s">
        <v>1125</v>
      </c>
      <c r="B28" s="250"/>
      <c r="C28" s="250"/>
      <c r="D28" s="250"/>
      <c r="E28" s="250"/>
      <c r="F28" s="250"/>
    </row>
    <row r="30" spans="1:6" x14ac:dyDescent="0.2">
      <c r="D30" s="258"/>
    </row>
  </sheetData>
  <mergeCells count="4">
    <mergeCell ref="A28:F28"/>
    <mergeCell ref="A1:D1"/>
    <mergeCell ref="A3:F3"/>
    <mergeCell ref="A4:F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6337778862885"/>
  </sheetPr>
  <dimension ref="A1:B23"/>
  <sheetViews>
    <sheetView showGridLines="0" workbookViewId="0"/>
  </sheetViews>
  <sheetFormatPr baseColWidth="10" defaultColWidth="8.6640625" defaultRowHeight="15" x14ac:dyDescent="0.2"/>
  <cols>
    <col min="1" max="1" width="90" style="23" customWidth="1"/>
    <col min="2" max="2" width="30" style="23" customWidth="1"/>
    <col min="3" max="16384" width="8.6640625" style="23"/>
  </cols>
  <sheetData>
    <row r="1" spans="1:2" ht="24" customHeight="1" x14ac:dyDescent="0.2">
      <c r="A1" s="205" t="s">
        <v>1126</v>
      </c>
      <c r="B1" s="205"/>
    </row>
    <row r="3" spans="1:2" ht="19.5" customHeight="1" x14ac:dyDescent="0.2">
      <c r="A3" s="253" t="s">
        <v>1127</v>
      </c>
      <c r="B3" s="253"/>
    </row>
    <row r="4" spans="1:2" ht="31.5" customHeight="1" x14ac:dyDescent="0.2">
      <c r="A4" s="254" t="s">
        <v>1128</v>
      </c>
      <c r="B4" s="254"/>
    </row>
    <row r="5" spans="1:2" ht="6" customHeight="1" x14ac:dyDescent="0.2"/>
    <row r="6" spans="1:2" ht="19.5" customHeight="1" x14ac:dyDescent="0.2">
      <c r="A6" s="253" t="s">
        <v>1129</v>
      </c>
      <c r="B6" s="253"/>
    </row>
    <row r="7" spans="1:2" ht="45.75" customHeight="1" x14ac:dyDescent="0.2">
      <c r="A7" s="254" t="s">
        <v>1130</v>
      </c>
      <c r="B7" s="254"/>
    </row>
    <row r="8" spans="1:2" ht="6" customHeight="1" x14ac:dyDescent="0.2"/>
    <row r="9" spans="1:2" ht="19.5" customHeight="1" x14ac:dyDescent="0.2">
      <c r="A9" s="253" t="s">
        <v>1131</v>
      </c>
      <c r="B9" s="253"/>
    </row>
    <row r="10" spans="1:2" ht="45.75" customHeight="1" x14ac:dyDescent="0.2">
      <c r="A10" s="254" t="s">
        <v>1132</v>
      </c>
      <c r="B10" s="254"/>
    </row>
    <row r="11" spans="1:2" ht="6" customHeight="1" x14ac:dyDescent="0.2"/>
    <row r="12" spans="1:2" ht="19.5" customHeight="1" x14ac:dyDescent="0.2">
      <c r="A12" s="253" t="s">
        <v>1133</v>
      </c>
      <c r="B12" s="253"/>
    </row>
    <row r="13" spans="1:2" ht="45.75" customHeight="1" x14ac:dyDescent="0.2">
      <c r="A13" s="254" t="s">
        <v>1134</v>
      </c>
      <c r="B13" s="254"/>
    </row>
    <row r="14" spans="1:2" ht="6" customHeight="1" x14ac:dyDescent="0.2"/>
    <row r="15" spans="1:2" ht="19.5" customHeight="1" x14ac:dyDescent="0.2">
      <c r="A15" s="253" t="s">
        <v>1135</v>
      </c>
      <c r="B15" s="253"/>
    </row>
    <row r="16" spans="1:2" ht="45.75" customHeight="1" x14ac:dyDescent="0.2">
      <c r="A16" s="254" t="s">
        <v>1136</v>
      </c>
      <c r="B16" s="254"/>
    </row>
    <row r="17" spans="1:2" ht="6" customHeight="1" x14ac:dyDescent="0.2"/>
    <row r="18" spans="1:2" ht="19.5" customHeight="1" x14ac:dyDescent="0.2">
      <c r="A18" s="253" t="s">
        <v>1137</v>
      </c>
      <c r="B18" s="253"/>
    </row>
    <row r="19" spans="1:2" ht="45.75" customHeight="1" x14ac:dyDescent="0.2">
      <c r="A19" s="254" t="s">
        <v>1138</v>
      </c>
      <c r="B19" s="254"/>
    </row>
    <row r="20" spans="1:2" ht="6" customHeight="1" x14ac:dyDescent="0.2"/>
    <row r="21" spans="1:2" ht="19.5" customHeight="1" x14ac:dyDescent="0.2">
      <c r="A21" s="253" t="s">
        <v>1139</v>
      </c>
      <c r="B21" s="253"/>
    </row>
    <row r="22" spans="1:2" ht="31.5" customHeight="1" x14ac:dyDescent="0.2">
      <c r="A22" s="254" t="s">
        <v>1140</v>
      </c>
      <c r="B22" s="254"/>
    </row>
    <row r="23" spans="1:2" ht="6" customHeight="1" x14ac:dyDescent="0.2"/>
  </sheetData>
  <mergeCells count="15">
    <mergeCell ref="A1:B1"/>
    <mergeCell ref="A3:B3"/>
    <mergeCell ref="A4:B4"/>
    <mergeCell ref="A6:B6"/>
    <mergeCell ref="A7:B7"/>
    <mergeCell ref="A16:B16"/>
    <mergeCell ref="A18:B18"/>
    <mergeCell ref="A19:B19"/>
    <mergeCell ref="A21:B21"/>
    <mergeCell ref="A22:B22"/>
    <mergeCell ref="A9:B9"/>
    <mergeCell ref="A10:B10"/>
    <mergeCell ref="A12:B12"/>
    <mergeCell ref="A13:B13"/>
    <mergeCell ref="A15:B1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6337778862885"/>
  </sheetPr>
  <dimension ref="A1:F35"/>
  <sheetViews>
    <sheetView showGridLines="0" workbookViewId="0"/>
  </sheetViews>
  <sheetFormatPr baseColWidth="10" defaultColWidth="8.6640625" defaultRowHeight="15" x14ac:dyDescent="0.2"/>
  <cols>
    <col min="1" max="1" width="20" style="23" customWidth="1"/>
    <col min="2" max="2" width="37.1640625" style="23" customWidth="1"/>
    <col min="3" max="3" width="12" style="23" customWidth="1"/>
    <col min="4" max="5" width="40" style="23" customWidth="1"/>
    <col min="6" max="6" width="34" style="23" customWidth="1"/>
    <col min="7" max="16384" width="8.6640625" style="23"/>
  </cols>
  <sheetData>
    <row r="1" spans="1:6" ht="24" customHeight="1" x14ac:dyDescent="0.2">
      <c r="A1" s="205" t="s">
        <v>1141</v>
      </c>
      <c r="B1" s="205"/>
      <c r="C1" s="205"/>
      <c r="D1" s="205"/>
      <c r="E1" s="205"/>
      <c r="F1" s="205"/>
    </row>
    <row r="2" spans="1:6" ht="27.75" customHeight="1" x14ac:dyDescent="0.2">
      <c r="A2" s="206" t="s">
        <v>1142</v>
      </c>
      <c r="B2" s="206"/>
      <c r="C2" s="206"/>
      <c r="D2" s="206"/>
      <c r="E2" s="206"/>
      <c r="F2" s="206"/>
    </row>
    <row r="4" spans="1:6" ht="19.5" customHeight="1" x14ac:dyDescent="0.2">
      <c r="A4" s="204" t="s">
        <v>1143</v>
      </c>
      <c r="B4" s="204"/>
      <c r="C4" s="204"/>
      <c r="D4" s="204"/>
      <c r="E4" s="204"/>
      <c r="F4" s="204"/>
    </row>
    <row r="5" spans="1:6" ht="25.5" customHeight="1" x14ac:dyDescent="0.2">
      <c r="A5" s="24" t="s">
        <v>1144</v>
      </c>
      <c r="B5" s="25" t="s">
        <v>1145</v>
      </c>
      <c r="C5" s="25" t="s">
        <v>1146</v>
      </c>
      <c r="D5" s="24" t="s">
        <v>1147</v>
      </c>
      <c r="E5" s="24" t="s">
        <v>1148</v>
      </c>
      <c r="F5" s="24" t="s">
        <v>1149</v>
      </c>
    </row>
    <row r="6" spans="1:6" ht="90" customHeight="1" x14ac:dyDescent="0.2">
      <c r="A6" s="44" t="s">
        <v>1150</v>
      </c>
      <c r="B6" s="87" t="s">
        <v>1151</v>
      </c>
      <c r="C6" s="86" t="s">
        <v>1152</v>
      </c>
      <c r="D6" s="26" t="s">
        <v>1153</v>
      </c>
      <c r="E6" s="9" t="s">
        <v>1294</v>
      </c>
      <c r="F6" s="26" t="s">
        <v>1154</v>
      </c>
    </row>
    <row r="7" spans="1:6" ht="90" customHeight="1" x14ac:dyDescent="0.2">
      <c r="A7" s="44" t="s">
        <v>1155</v>
      </c>
      <c r="B7" s="87" t="s">
        <v>1156</v>
      </c>
      <c r="C7" s="86" t="s">
        <v>1157</v>
      </c>
      <c r="D7" s="26" t="s">
        <v>1158</v>
      </c>
      <c r="E7" s="26" t="s">
        <v>1159</v>
      </c>
      <c r="F7" s="26" t="s">
        <v>1160</v>
      </c>
    </row>
    <row r="8" spans="1:6" ht="90" customHeight="1" x14ac:dyDescent="0.2">
      <c r="A8" s="29" t="s">
        <v>1161</v>
      </c>
      <c r="B8" s="87" t="s">
        <v>1162</v>
      </c>
      <c r="C8" s="88" t="s">
        <v>1163</v>
      </c>
      <c r="D8" s="26" t="s">
        <v>1164</v>
      </c>
      <c r="E8" s="26" t="s">
        <v>1165</v>
      </c>
      <c r="F8" s="28" t="s">
        <v>1166</v>
      </c>
    </row>
    <row r="9" spans="1:6" ht="90" customHeight="1" x14ac:dyDescent="0.2">
      <c r="A9" s="44" t="s">
        <v>1167</v>
      </c>
      <c r="B9" s="87" t="s">
        <v>1168</v>
      </c>
      <c r="C9" s="86" t="s">
        <v>1169</v>
      </c>
      <c r="D9" s="26" t="s">
        <v>1170</v>
      </c>
      <c r="E9" s="26" t="s">
        <v>1171</v>
      </c>
      <c r="F9" s="26" t="s">
        <v>1172</v>
      </c>
    </row>
    <row r="10" spans="1:6" ht="19.5" customHeight="1" x14ac:dyDescent="0.2">
      <c r="A10" s="85" t="s">
        <v>1173</v>
      </c>
      <c r="B10" s="84" t="s">
        <v>1174</v>
      </c>
      <c r="C10" s="84" t="s">
        <v>1175</v>
      </c>
      <c r="D10" s="83"/>
      <c r="E10" s="83"/>
      <c r="F10" s="83"/>
    </row>
    <row r="12" spans="1:6" ht="19.5" customHeight="1" x14ac:dyDescent="0.2">
      <c r="A12" s="204" t="s">
        <v>1176</v>
      </c>
      <c r="B12" s="204"/>
      <c r="C12" s="204"/>
      <c r="D12" s="204"/>
      <c r="E12" s="204"/>
      <c r="F12" s="204"/>
    </row>
    <row r="13" spans="1:6" ht="18" customHeight="1" x14ac:dyDescent="0.2">
      <c r="A13" s="24" t="s">
        <v>1177</v>
      </c>
      <c r="B13" s="24" t="s">
        <v>1178</v>
      </c>
      <c r="C13" s="255" t="s">
        <v>1179</v>
      </c>
      <c r="D13" s="255"/>
      <c r="E13" s="255"/>
      <c r="F13" s="255"/>
    </row>
    <row r="14" spans="1:6" ht="43.5" customHeight="1" x14ac:dyDescent="0.2">
      <c r="A14" s="82" t="s">
        <v>1180</v>
      </c>
      <c r="B14" s="26" t="s">
        <v>1181</v>
      </c>
      <c r="C14" s="209" t="s">
        <v>1182</v>
      </c>
      <c r="D14" s="209"/>
      <c r="E14" s="209"/>
      <c r="F14" s="209"/>
    </row>
    <row r="15" spans="1:6" ht="43.5" customHeight="1" x14ac:dyDescent="0.2">
      <c r="A15" s="82" t="s">
        <v>1183</v>
      </c>
      <c r="B15" s="26" t="s">
        <v>1184</v>
      </c>
      <c r="C15" s="256" t="s">
        <v>1295</v>
      </c>
      <c r="D15" s="209"/>
      <c r="E15" s="209"/>
      <c r="F15" s="209"/>
    </row>
    <row r="16" spans="1:6" ht="43.5" customHeight="1" x14ac:dyDescent="0.2">
      <c r="A16" s="82" t="s">
        <v>1185</v>
      </c>
      <c r="B16" s="26" t="s">
        <v>1186</v>
      </c>
      <c r="C16" s="209" t="s">
        <v>1187</v>
      </c>
      <c r="D16" s="209"/>
      <c r="E16" s="209"/>
      <c r="F16" s="209"/>
    </row>
    <row r="17" spans="1:6" ht="43.5" customHeight="1" x14ac:dyDescent="0.2">
      <c r="A17" s="82" t="s">
        <v>1188</v>
      </c>
      <c r="B17" s="26" t="s">
        <v>1189</v>
      </c>
      <c r="C17" s="209" t="s">
        <v>1190</v>
      </c>
      <c r="D17" s="209"/>
      <c r="E17" s="209"/>
      <c r="F17" s="209"/>
    </row>
    <row r="19" spans="1:6" ht="19.5" customHeight="1" x14ac:dyDescent="0.2">
      <c r="A19" s="204" t="s">
        <v>1191</v>
      </c>
      <c r="B19" s="204"/>
      <c r="C19" s="204"/>
      <c r="D19" s="204"/>
      <c r="E19" s="204"/>
      <c r="F19" s="204"/>
    </row>
    <row r="20" spans="1:6" ht="18" customHeight="1" x14ac:dyDescent="0.2">
      <c r="A20" s="24" t="s">
        <v>1192</v>
      </c>
      <c r="B20" s="24" t="s">
        <v>296</v>
      </c>
      <c r="C20" s="24" t="s">
        <v>1193</v>
      </c>
      <c r="D20" s="255" t="s">
        <v>1194</v>
      </c>
      <c r="E20" s="255"/>
      <c r="F20" s="255"/>
    </row>
    <row r="21" spans="1:6" ht="51.75" customHeight="1" x14ac:dyDescent="0.2">
      <c r="A21" s="82" t="s">
        <v>1195</v>
      </c>
      <c r="B21" s="26" t="s">
        <v>1196</v>
      </c>
      <c r="C21" s="26" t="s">
        <v>1197</v>
      </c>
      <c r="D21" s="209" t="s">
        <v>1198</v>
      </c>
      <c r="E21" s="209"/>
      <c r="F21" s="209"/>
    </row>
    <row r="22" spans="1:6" ht="51.75" customHeight="1" x14ac:dyDescent="0.2">
      <c r="A22" s="82" t="s">
        <v>1199</v>
      </c>
      <c r="B22" s="26" t="s">
        <v>1200</v>
      </c>
      <c r="C22" s="26" t="s">
        <v>1201</v>
      </c>
      <c r="D22" s="209" t="s">
        <v>1202</v>
      </c>
      <c r="E22" s="209"/>
      <c r="F22" s="209"/>
    </row>
    <row r="23" spans="1:6" ht="51.75" customHeight="1" x14ac:dyDescent="0.2">
      <c r="A23" s="82" t="s">
        <v>1203</v>
      </c>
      <c r="B23" s="26" t="s">
        <v>1204</v>
      </c>
      <c r="C23" s="26" t="s">
        <v>1205</v>
      </c>
      <c r="D23" s="256" t="s">
        <v>1296</v>
      </c>
      <c r="E23" s="209"/>
      <c r="F23" s="209"/>
    </row>
    <row r="24" spans="1:6" ht="51.75" customHeight="1" x14ac:dyDescent="0.2">
      <c r="A24" s="82" t="s">
        <v>1206</v>
      </c>
      <c r="B24" s="26" t="s">
        <v>1207</v>
      </c>
      <c r="C24" s="26" t="s">
        <v>1208</v>
      </c>
      <c r="D24" s="209" t="s">
        <v>1209</v>
      </c>
      <c r="E24" s="209"/>
      <c r="F24" s="209"/>
    </row>
    <row r="26" spans="1:6" ht="19.5" customHeight="1" x14ac:dyDescent="0.2">
      <c r="A26" s="204" t="s">
        <v>1210</v>
      </c>
      <c r="B26" s="204"/>
      <c r="C26" s="204"/>
      <c r="D26" s="204"/>
      <c r="E26" s="204"/>
      <c r="F26" s="204"/>
    </row>
    <row r="27" spans="1:6" ht="24" customHeight="1" x14ac:dyDescent="0.2">
      <c r="A27" s="257" t="s">
        <v>1211</v>
      </c>
      <c r="B27" s="257"/>
      <c r="C27" s="257"/>
      <c r="D27" s="214" t="s">
        <v>1212</v>
      </c>
      <c r="E27" s="214"/>
      <c r="F27" s="214"/>
    </row>
    <row r="28" spans="1:6" ht="24" customHeight="1" x14ac:dyDescent="0.2">
      <c r="A28" s="257" t="s">
        <v>1213</v>
      </c>
      <c r="B28" s="257"/>
      <c r="C28" s="257"/>
      <c r="D28" s="209" t="s">
        <v>1214</v>
      </c>
      <c r="E28" s="209"/>
      <c r="F28" s="209"/>
    </row>
    <row r="29" spans="1:6" ht="24" customHeight="1" x14ac:dyDescent="0.2">
      <c r="A29" s="257" t="s">
        <v>1215</v>
      </c>
      <c r="B29" s="257"/>
      <c r="C29" s="257"/>
      <c r="D29" s="209" t="s">
        <v>1216</v>
      </c>
      <c r="E29" s="209"/>
      <c r="F29" s="209"/>
    </row>
    <row r="30" spans="1:6" ht="24" customHeight="1" x14ac:dyDescent="0.2">
      <c r="A30" s="257" t="s">
        <v>1217</v>
      </c>
      <c r="B30" s="257"/>
      <c r="C30" s="257"/>
      <c r="D30" s="209" t="s">
        <v>1218</v>
      </c>
      <c r="E30" s="209"/>
      <c r="F30" s="209"/>
    </row>
    <row r="31" spans="1:6" ht="24" customHeight="1" x14ac:dyDescent="0.2">
      <c r="A31" s="257" t="s">
        <v>1219</v>
      </c>
      <c r="B31" s="257"/>
      <c r="C31" s="257"/>
      <c r="D31" s="209" t="s">
        <v>1220</v>
      </c>
      <c r="E31" s="209"/>
      <c r="F31" s="209"/>
    </row>
    <row r="32" spans="1:6" ht="24" customHeight="1" x14ac:dyDescent="0.2">
      <c r="A32" s="257" t="s">
        <v>1221</v>
      </c>
      <c r="B32" s="257"/>
      <c r="C32" s="257"/>
      <c r="D32" s="256" t="s">
        <v>1297</v>
      </c>
      <c r="E32" s="209"/>
      <c r="F32" s="209"/>
    </row>
    <row r="33" spans="1:6" ht="24" customHeight="1" x14ac:dyDescent="0.2">
      <c r="A33" s="257" t="s">
        <v>1222</v>
      </c>
      <c r="B33" s="257"/>
      <c r="C33" s="257"/>
      <c r="D33" s="209" t="s">
        <v>1223</v>
      </c>
      <c r="E33" s="209"/>
      <c r="F33" s="209"/>
    </row>
    <row r="35" spans="1:6" ht="39.75" customHeight="1" x14ac:dyDescent="0.2">
      <c r="A35" s="210" t="s">
        <v>1224</v>
      </c>
      <c r="B35" s="210"/>
      <c r="C35" s="210"/>
      <c r="D35" s="210"/>
      <c r="E35" s="210"/>
      <c r="F35" s="210"/>
    </row>
  </sheetData>
  <mergeCells count="31">
    <mergeCell ref="A29:C29"/>
    <mergeCell ref="D29:F29"/>
    <mergeCell ref="A30:C30"/>
    <mergeCell ref="D30:F30"/>
    <mergeCell ref="A35:F35"/>
    <mergeCell ref="A31:C31"/>
    <mergeCell ref="D31:F31"/>
    <mergeCell ref="A32:C32"/>
    <mergeCell ref="D32:F32"/>
    <mergeCell ref="A33:C33"/>
    <mergeCell ref="D33:F33"/>
    <mergeCell ref="A26:F26"/>
    <mergeCell ref="A27:C27"/>
    <mergeCell ref="D27:F27"/>
    <mergeCell ref="A28:C28"/>
    <mergeCell ref="D28:F28"/>
    <mergeCell ref="D20:F20"/>
    <mergeCell ref="D21:F21"/>
    <mergeCell ref="D22:F22"/>
    <mergeCell ref="D23:F23"/>
    <mergeCell ref="D24:F24"/>
    <mergeCell ref="C14:F14"/>
    <mergeCell ref="C15:F15"/>
    <mergeCell ref="C16:F16"/>
    <mergeCell ref="C17:F17"/>
    <mergeCell ref="A19:F19"/>
    <mergeCell ref="A1:F1"/>
    <mergeCell ref="A2:F2"/>
    <mergeCell ref="A4:F4"/>
    <mergeCell ref="A12:F12"/>
    <mergeCell ref="C13:F1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23"/>
  <sheetViews>
    <sheetView workbookViewId="0"/>
  </sheetViews>
  <sheetFormatPr baseColWidth="10" defaultColWidth="8.83203125" defaultRowHeight="15" x14ac:dyDescent="0.2"/>
  <cols>
    <col min="1" max="1" width="28" customWidth="1"/>
    <col min="2" max="2" width="90" customWidth="1"/>
  </cols>
  <sheetData>
    <row r="1" spans="1:2" ht="40" x14ac:dyDescent="0.25">
      <c r="A1" s="174" t="s">
        <v>1298</v>
      </c>
      <c r="B1" s="174" t="s">
        <v>1299</v>
      </c>
    </row>
    <row r="2" spans="1:2" ht="16" x14ac:dyDescent="0.2">
      <c r="A2" s="175" t="s">
        <v>1300</v>
      </c>
      <c r="B2" s="175" t="s">
        <v>1301</v>
      </c>
    </row>
    <row r="3" spans="1:2" ht="32" x14ac:dyDescent="0.2">
      <c r="A3" s="176" t="s">
        <v>1302</v>
      </c>
      <c r="B3" s="4" t="s">
        <v>1303</v>
      </c>
    </row>
    <row r="4" spans="1:2" ht="32" x14ac:dyDescent="0.2">
      <c r="A4" s="176" t="s">
        <v>1304</v>
      </c>
      <c r="B4" s="4" t="s">
        <v>1305</v>
      </c>
    </row>
    <row r="5" spans="1:2" ht="32" x14ac:dyDescent="0.2">
      <c r="A5" s="176" t="s">
        <v>1306</v>
      </c>
      <c r="B5" s="4" t="s">
        <v>1307</v>
      </c>
    </row>
    <row r="6" spans="1:2" ht="32" x14ac:dyDescent="0.2">
      <c r="A6" s="176" t="s">
        <v>1308</v>
      </c>
      <c r="B6" s="4" t="s">
        <v>1309</v>
      </c>
    </row>
    <row r="7" spans="1:2" ht="64" x14ac:dyDescent="0.2">
      <c r="A7" s="176" t="s">
        <v>1310</v>
      </c>
      <c r="B7" s="4" t="s">
        <v>1311</v>
      </c>
    </row>
    <row r="8" spans="1:2" ht="32" x14ac:dyDescent="0.2">
      <c r="A8" s="176" t="s">
        <v>1312</v>
      </c>
      <c r="B8" s="4" t="s">
        <v>1313</v>
      </c>
    </row>
    <row r="9" spans="1:2" ht="16" x14ac:dyDescent="0.2">
      <c r="A9" s="176" t="s">
        <v>1314</v>
      </c>
      <c r="B9" s="4" t="s">
        <v>1315</v>
      </c>
    </row>
    <row r="10" spans="1:2" ht="16" x14ac:dyDescent="0.2">
      <c r="A10" s="176" t="s">
        <v>1316</v>
      </c>
      <c r="B10" s="4" t="s">
        <v>1317</v>
      </c>
    </row>
    <row r="11" spans="1:2" ht="16" x14ac:dyDescent="0.2">
      <c r="A11" s="176" t="s">
        <v>1318</v>
      </c>
      <c r="B11" s="4" t="s">
        <v>1319</v>
      </c>
    </row>
    <row r="12" spans="1:2" ht="16" x14ac:dyDescent="0.2">
      <c r="A12" s="176" t="s">
        <v>1320</v>
      </c>
      <c r="B12" s="4" t="s">
        <v>1321</v>
      </c>
    </row>
    <row r="13" spans="1:2" ht="16" x14ac:dyDescent="0.2">
      <c r="A13" s="176" t="s">
        <v>1322</v>
      </c>
      <c r="B13" s="4" t="s">
        <v>1323</v>
      </c>
    </row>
    <row r="14" spans="1:2" ht="16" x14ac:dyDescent="0.2">
      <c r="A14" s="176" t="s">
        <v>1324</v>
      </c>
      <c r="B14" s="4" t="s">
        <v>1325</v>
      </c>
    </row>
    <row r="15" spans="1:2" ht="32" x14ac:dyDescent="0.2">
      <c r="A15" s="176" t="s">
        <v>1326</v>
      </c>
      <c r="B15" s="4" t="s">
        <v>1327</v>
      </c>
    </row>
    <row r="16" spans="1:2" ht="32" x14ac:dyDescent="0.2">
      <c r="A16" s="176" t="s">
        <v>1328</v>
      </c>
      <c r="B16" s="4" t="s">
        <v>1329</v>
      </c>
    </row>
    <row r="17" spans="1:2" ht="32" x14ac:dyDescent="0.2">
      <c r="A17" s="176" t="s">
        <v>1330</v>
      </c>
      <c r="B17" s="4" t="s">
        <v>1331</v>
      </c>
    </row>
    <row r="18" spans="1:2" ht="32" x14ac:dyDescent="0.2">
      <c r="A18" s="176" t="s">
        <v>1332</v>
      </c>
      <c r="B18" s="4" t="s">
        <v>1333</v>
      </c>
    </row>
    <row r="19" spans="1:2" ht="16" x14ac:dyDescent="0.2">
      <c r="A19" s="176" t="s">
        <v>1334</v>
      </c>
      <c r="B19" s="4" t="s">
        <v>1335</v>
      </c>
    </row>
    <row r="20" spans="1:2" ht="32" x14ac:dyDescent="0.2">
      <c r="A20" s="176" t="s">
        <v>1336</v>
      </c>
      <c r="B20" s="4" t="s">
        <v>1337</v>
      </c>
    </row>
    <row r="21" spans="1:2" ht="32" x14ac:dyDescent="0.2">
      <c r="A21" s="4" t="s">
        <v>1338</v>
      </c>
      <c r="B21" s="4" t="s">
        <v>1339</v>
      </c>
    </row>
    <row r="22" spans="1:2" ht="32" x14ac:dyDescent="0.2">
      <c r="A22" s="4" t="s">
        <v>1340</v>
      </c>
      <c r="B22" s="4" t="s">
        <v>1341</v>
      </c>
    </row>
    <row r="23" spans="1:2" ht="32" x14ac:dyDescent="0.2">
      <c r="A23" s="4" t="s">
        <v>1336</v>
      </c>
      <c r="B23" s="4" t="s">
        <v>1342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5"/>
  <sheetViews>
    <sheetView workbookViewId="0"/>
  </sheetViews>
  <sheetFormatPr baseColWidth="10" defaultColWidth="8.83203125" defaultRowHeight="15" x14ac:dyDescent="0.2"/>
  <cols>
    <col min="1" max="1" width="30" customWidth="1"/>
    <col min="2" max="2" width="72" customWidth="1"/>
    <col min="3" max="3" width="28" customWidth="1"/>
  </cols>
  <sheetData>
    <row r="1" spans="1:3" ht="16" x14ac:dyDescent="0.2">
      <c r="A1" s="178" t="s">
        <v>1343</v>
      </c>
      <c r="B1" s="178" t="s">
        <v>1344</v>
      </c>
      <c r="C1" s="178" t="s">
        <v>1345</v>
      </c>
    </row>
    <row r="2" spans="1:3" ht="16" x14ac:dyDescent="0.2">
      <c r="A2" s="4" t="s">
        <v>1346</v>
      </c>
      <c r="B2" s="4" t="s">
        <v>1347</v>
      </c>
      <c r="C2" s="4" t="s">
        <v>262</v>
      </c>
    </row>
    <row r="3" spans="1:3" ht="16" x14ac:dyDescent="0.2">
      <c r="A3" s="4" t="s">
        <v>1348</v>
      </c>
      <c r="B3" s="4" t="s">
        <v>1349</v>
      </c>
      <c r="C3" s="4" t="s">
        <v>262</v>
      </c>
    </row>
    <row r="4" spans="1:3" ht="16" x14ac:dyDescent="0.2">
      <c r="A4" s="4" t="s">
        <v>1350</v>
      </c>
      <c r="B4" s="4" t="s">
        <v>1351</v>
      </c>
      <c r="C4" s="4" t="s">
        <v>1352</v>
      </c>
    </row>
    <row r="5" spans="1:3" ht="48" x14ac:dyDescent="0.2">
      <c r="A5" s="4" t="s">
        <v>1353</v>
      </c>
      <c r="B5" s="4" t="s">
        <v>1354</v>
      </c>
      <c r="C5" s="4" t="s">
        <v>1355</v>
      </c>
    </row>
    <row r="6" spans="1:3" ht="16" x14ac:dyDescent="0.2">
      <c r="A6" s="4" t="s">
        <v>650</v>
      </c>
      <c r="B6" s="4" t="s">
        <v>1356</v>
      </c>
      <c r="C6" s="4" t="s">
        <v>262</v>
      </c>
    </row>
    <row r="7" spans="1:3" ht="16" x14ac:dyDescent="0.2">
      <c r="A7" s="4" t="s">
        <v>110</v>
      </c>
      <c r="B7" s="4" t="s">
        <v>1357</v>
      </c>
      <c r="C7" s="4" t="s">
        <v>262</v>
      </c>
    </row>
    <row r="8" spans="1:3" ht="16" x14ac:dyDescent="0.2">
      <c r="A8" s="4" t="s">
        <v>112</v>
      </c>
      <c r="B8" s="4" t="s">
        <v>1358</v>
      </c>
      <c r="C8" s="4" t="s">
        <v>262</v>
      </c>
    </row>
    <row r="9" spans="1:3" ht="16" x14ac:dyDescent="0.2">
      <c r="A9" s="4" t="s">
        <v>108</v>
      </c>
      <c r="B9" s="4" t="s">
        <v>1359</v>
      </c>
      <c r="C9" s="4" t="s">
        <v>262</v>
      </c>
    </row>
    <row r="10" spans="1:3" ht="16" x14ac:dyDescent="0.2">
      <c r="A10" s="4" t="s">
        <v>119</v>
      </c>
      <c r="B10" s="4" t="s">
        <v>1360</v>
      </c>
      <c r="C10" s="4" t="s">
        <v>262</v>
      </c>
    </row>
    <row r="11" spans="1:3" ht="16" x14ac:dyDescent="0.2">
      <c r="A11" s="4" t="s">
        <v>1324</v>
      </c>
      <c r="B11" s="4" t="s">
        <v>1361</v>
      </c>
      <c r="C11" s="4" t="s">
        <v>1362</v>
      </c>
    </row>
    <row r="12" spans="1:3" ht="16" x14ac:dyDescent="0.2">
      <c r="A12" s="4" t="s">
        <v>1328</v>
      </c>
      <c r="B12" s="4" t="s">
        <v>1363</v>
      </c>
      <c r="C12" s="4" t="s">
        <v>1364</v>
      </c>
    </row>
    <row r="13" spans="1:3" ht="16" x14ac:dyDescent="0.2">
      <c r="A13" s="4" t="s">
        <v>1330</v>
      </c>
      <c r="B13" s="4" t="s">
        <v>1365</v>
      </c>
      <c r="C13" s="4" t="s">
        <v>1366</v>
      </c>
    </row>
    <row r="14" spans="1:3" ht="16" x14ac:dyDescent="0.2">
      <c r="A14" s="4" t="s">
        <v>1367</v>
      </c>
      <c r="B14" s="4" t="s">
        <v>1368</v>
      </c>
      <c r="C14" s="4" t="s">
        <v>1369</v>
      </c>
    </row>
    <row r="15" spans="1:3" ht="32" x14ac:dyDescent="0.2">
      <c r="A15" s="4" t="s">
        <v>1338</v>
      </c>
      <c r="B15" s="4" t="s">
        <v>1370</v>
      </c>
      <c r="C15" s="4" t="s">
        <v>1371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1. Project</vt:lpstr>
      <vt:lpstr>1.1_ Summary</vt:lpstr>
      <vt:lpstr>2. Data</vt:lpstr>
      <vt:lpstr>2.1_CropSelection</vt:lpstr>
      <vt:lpstr>2.2_Metadata_DQ</vt:lpstr>
      <vt:lpstr>3. Analysis</vt:lpstr>
      <vt:lpstr>3.1_ Analysis_Steps</vt:lpstr>
      <vt:lpstr>3.2_Q&amp;A</vt:lpstr>
      <vt:lpstr>Top 10 producers (3-yr)</vt:lpstr>
      <vt:lpstr>3.3_Resilience Analysis</vt:lpstr>
      <vt:lpstr>3.4_ Predictive Fragility Index</vt:lpstr>
      <vt:lpstr>3.5_Sources</vt:lpstr>
      <vt:lpstr>4. Production Checklist</vt:lpstr>
      <vt:lpstr>4.1_ Personas</vt:lpstr>
      <vt:lpstr>4.2_Elevator Pitches</vt:lpstr>
      <vt:lpstr>4.3_Visuals to Build</vt:lpstr>
      <vt:lpstr>4.4_PPT Breakdown</vt:lpstr>
      <vt:lpstr>Full tables (3yr) (2)</vt:lpstr>
      <vt:lpstr>4.5_Video Plan</vt:lpstr>
      <vt:lpstr>4.5_GitHub Setup</vt:lpstr>
      <vt:lpstr>4.6_Judging</vt:lpstr>
      <vt:lpstr>FINAL_AUDIT</vt:lpstr>
      <vt:lpstr>FINAL_CLAIMS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 Souamy</cp:lastModifiedBy>
  <dcterms:modified xsi:type="dcterms:W3CDTF">2026-09-15T10:56:09Z</dcterms:modified>
</cp:coreProperties>
</file>