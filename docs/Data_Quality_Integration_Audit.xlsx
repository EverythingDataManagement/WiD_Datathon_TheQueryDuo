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60c99f6bf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61fac220a624b85"/>
    <x:sheet xmlns:r="http://schemas.openxmlformats.org/officeDocument/2006/relationships" name="Revision_Log" sheetId="2" r:id="R61fc4b17f8ce4646"/>
    <x:sheet xmlns:r="http://schemas.openxmlformats.org/officeDocument/2006/relationships" name="Correlation_Reconciliation" sheetId="3" r:id="R57298963a9d44f9e"/>
    <x:sheet xmlns:r="http://schemas.openxmlformats.org/officeDocument/2006/relationships" name="Sample_Reconciliation" sheetId="4" r:id="R093bff65042a4e43"/>
    <x:sheet xmlns:r="http://schemas.openxmlformats.org/officeDocument/2006/relationships" name="Integration_Controls" sheetId="5" r:id="Rd264841099734450"/>
    <x:sheet xmlns:r="http://schemas.openxmlformats.org/officeDocument/2006/relationships" name="DQ_Scorecard" sheetId="6" r:id="Rfec1849fc24a44ff"/>
    <x:sheet xmlns:r="http://schemas.openxmlformats.org/officeDocument/2006/relationships" name="Source_Register" sheetId="7" r:id="Rf280f069a40b4248"/>
    <x:sheet xmlns:r="http://schemas.openxmlformats.org/officeDocument/2006/relationships" name="Final_Claims" sheetId="8" r:id="Re161e77cb9d244ad"/>
    <x:sheet xmlns:r="http://schemas.openxmlformats.org/officeDocument/2006/relationships" name="Known_Limitations" sheetId="9" r:id="R283acaec502b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3"/>
      </x:patternFill>
    </x:fill>
    <x:fill>
      <x:patternFill patternType="solid">
        <x:fgColor rgb="FF2F6F6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3" fillId="4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201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E7D5A"/>
      </x:font>
      <x:fill>
        <x:patternFill patternType="solid">
          <x:bgColor rgb="FFEAF5EF"/>
        </x:patternFill>
      </x:fill>
    </x:dxf>
    <x:dxf>
      <x:font>
        <x:b/>
        <x:color rgb="FF2E7D5A"/>
      </x:font>
      <x:fill>
        <x:patternFill patternType="solid">
          <x:bgColor rgb="FFEAF5EF"/>
        </x:patternFill>
      </x:fill>
    </x:dxf>
    <x:dxf>
      <x:font>
        <x:b/>
        <x:color rgb="FFC98B2E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bf9752ad14840" /><Relationship Type="http://schemas.openxmlformats.org/officeDocument/2006/relationships/theme" Target="/xl/theme/theme1.xml" Id="R3730c76e55f94acf" /><Relationship Type="http://schemas.openxmlformats.org/officeDocument/2006/relationships/sharedStrings" Target="/xl/sharedStrings.xml" Id="R9b5b7582773b402e" /><Relationship Type="http://schemas.openxmlformats.org/officeDocument/2006/relationships/worksheet" Target="/xl/worksheets/sheet1.xml" Id="Ra61fac220a624b85" /><Relationship Type="http://schemas.openxmlformats.org/officeDocument/2006/relationships/worksheet" Target="/xl/worksheets/sheet2.xml" Id="R61fc4b17f8ce4646" /><Relationship Type="http://schemas.openxmlformats.org/officeDocument/2006/relationships/worksheet" Target="/xl/worksheets/sheet3.xml" Id="R57298963a9d44f9e" /><Relationship Type="http://schemas.openxmlformats.org/officeDocument/2006/relationships/worksheet" Target="/xl/worksheets/sheet4.xml" Id="R093bff65042a4e43" /><Relationship Type="http://schemas.openxmlformats.org/officeDocument/2006/relationships/worksheet" Target="/xl/worksheets/sheet5.xml" Id="Rd264841099734450" /><Relationship Type="http://schemas.openxmlformats.org/officeDocument/2006/relationships/worksheet" Target="/xl/worksheets/sheet6.xml" Id="Rfec1849fc24a44ff" /><Relationship Type="http://schemas.openxmlformats.org/officeDocument/2006/relationships/worksheet" Target="/xl/worksheets/sheet7.xml" Id="Rf280f069a40b4248" /><Relationship Type="http://schemas.openxmlformats.org/officeDocument/2006/relationships/worksheet" Target="/xl/worksheets/sheet8.xml" Id="Re161e77cb9d244ad" /><Relationship Type="http://schemas.openxmlformats.org/officeDocument/2006/relationships/worksheet" Target="/xl/worksheets/sheet9.xml" Id="R283acaec502b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Query Queens — Data Quality &amp; Integration Audit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</x:row>
    <x:row r="2" ht="34" customHeight="1">
      <x:c r="A2" s="34" t="str">
        <x:v>Final audit trail for production, land-use, fertilizer, resilience, CFI and supporting trade analysis. This workbook records what changed, why it changed, and which values are authoritative.</x:v>
      </x:c>
      <x:c r="B2" s="34"/>
      <x:c r="C2" s="34"/>
      <x:c r="D2" s="34"/>
      <x:c r="E2" s="34"/>
      <x:c r="F2" s="34"/>
      <x:c r="G2" s="34"/>
      <x:c r="H2" s="34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Control area</x:v>
      </x:c>
      <x:c r="B4" s="35" t="str">
        <x:v>Final status</x:v>
      </x:c>
      <x:c r="C4" s="36"/>
      <x:c r="D4" s="36"/>
      <x:c r="E4" s="36"/>
      <x:c r="F4" s="36"/>
      <x:c r="G4" s="36"/>
      <x:c r="H4" s="36"/>
      <x:c r="I4" s="33"/>
      <x:c r="J4" s="33"/>
      <x:c r="K4" s="33"/>
    </x:row>
    <x:row r="5">
      <x:c r="A5" s="36" t="str">
        <x:v>Canonical production file</x:v>
      </x:c>
      <x:c r="B5" s="36" t="str">
        <x:v>Master_clean.xlsx</x:v>
      </x:c>
      <x:c r="C5" s="36"/>
      <x:c r="D5" s="36"/>
      <x:c r="E5" s="36"/>
      <x:c r="F5" s="36"/>
      <x:c r="G5" s="36"/>
      <x:c r="H5" s="36"/>
      <x:c r="I5" s="33"/>
      <x:c r="J5" s="33"/>
      <x:c r="K5" s="33"/>
    </x:row>
    <x:row r="6">
      <x:c r="A6" s="36" t="str">
        <x:v>Headline analysis window</x:v>
      </x:c>
      <x:c r="B6" s="36" t="str">
        <x:v>2000–2023</x:v>
      </x:c>
      <x:c r="C6" s="36"/>
      <x:c r="D6" s="36"/>
      <x:c r="E6" s="36"/>
      <x:c r="F6" s="36"/>
      <x:c r="G6" s="36"/>
      <x:c r="H6" s="36"/>
      <x:c r="I6" s="33"/>
      <x:c r="J6" s="33"/>
      <x:c r="K6" s="33"/>
    </x:row>
    <x:row r="7">
      <x:c r="A7" s="36" t="str">
        <x:v>Production master</x:v>
      </x:c>
      <x:c r="B7" s="36" t="str">
        <x:v>28,439 rows; 195 countries; 10 crops</x:v>
      </x:c>
      <x:c r="C7" s="36"/>
      <x:c r="D7" s="36"/>
      <x:c r="E7" s="36"/>
      <x:c r="F7" s="36"/>
      <x:c r="G7" s="36"/>
      <x:c r="H7" s="36"/>
      <x:c r="I7" s="33"/>
      <x:c r="J7" s="33"/>
      <x:c r="K7" s="33"/>
    </x:row>
    <x:row r="8">
      <x:c r="A8" s="36" t="str">
        <x:v>Production DQ score</x:v>
      </x:c>
      <x:c r="B8" s="36" t="str">
        <x:v>99.6% project DMBOK-style score</x:v>
      </x:c>
      <x:c r="C8" s="36"/>
      <x:c r="D8" s="36"/>
      <x:c r="E8" s="36"/>
      <x:c r="F8" s="36"/>
      <x:c r="G8" s="36"/>
      <x:c r="H8" s="36"/>
      <x:c r="I8" s="33"/>
      <x:c r="J8" s="33"/>
      <x:c r="K8" s="33"/>
    </x:row>
    <x:row r="9">
      <x:c r="A9" s="36" t="str">
        <x:v>Land/forest correlation</x:v>
      </x:c>
      <x:c r="B9" s="36" t="str">
        <x:v>r = -0.3595 (≈ -0.36), n = 190, p = 3.49E-07</x:v>
      </x:c>
      <x:c r="C9" s="36"/>
      <x:c r="D9" s="36"/>
      <x:c r="E9" s="36"/>
      <x:c r="F9" s="36"/>
      <x:c r="G9" s="36"/>
      <x:c r="H9" s="36"/>
      <x:c r="I9" s="33"/>
      <x:c r="J9" s="33"/>
      <x:c r="K9" s="33"/>
    </x:row>
    <x:row r="10">
      <x:c r="A10" s="36" t="str">
        <x:v>Fertilizer/yield correlation</x:v>
      </x:c>
      <x:c r="B10" s="36" t="str">
        <x:v>r = +0.5822 (≈ +0.58), n = 173, p = 4.40E-17</x:v>
      </x:c>
      <x:c r="C10" s="36"/>
      <x:c r="D10" s="36"/>
      <x:c r="E10" s="36"/>
      <x:c r="F10" s="36"/>
      <x:c r="G10" s="36"/>
      <x:c r="H10" s="36"/>
      <x:c r="I10" s="33"/>
      <x:c r="J10" s="33"/>
      <x:c r="K10" s="33"/>
    </x:row>
    <x:row r="11">
      <x:c r="A11" s="36" t="str">
        <x:v>Resilience baseline</x:v>
      </x:c>
      <x:c r="B11" s="36" t="str">
        <x:v>2021–2023 average production</x:v>
      </x:c>
      <x:c r="C11" s="36"/>
      <x:c r="D11" s="36"/>
      <x:c r="E11" s="36"/>
      <x:c r="F11" s="36"/>
      <x:c r="G11" s="36"/>
      <x:c r="H11" s="36"/>
      <x:c r="I11" s="33"/>
      <x:c r="J11" s="33"/>
      <x:c r="K11" s="33"/>
    </x:row>
    <x:row r="12">
      <x:c r="A12" s="36" t="str">
        <x:v>CFI hazard</x:v>
      </x:c>
      <x:c r="B12" s="36" t="str">
        <x:v>Downside volatility (RMS of negative annual production changes)</x:v>
      </x:c>
      <x:c r="C12" s="36"/>
      <x:c r="D12" s="36"/>
      <x:c r="E12" s="36"/>
      <x:c r="F12" s="36"/>
      <x:c r="G12" s="36"/>
      <x:c r="H12" s="36"/>
      <x:c r="I12" s="33"/>
      <x:c r="J12" s="33"/>
      <x:c r="K12" s="33"/>
    </x:row>
    <x:row r="13">
      <x:c r="A13" s="36" t="str">
        <x:v>Trade</x:v>
      </x:c>
      <x:c r="B13" s="36" t="str">
        <x:v>Supporting analysis only; not an input to CFI</x:v>
      </x:c>
      <x:c r="C13" s="36"/>
      <x:c r="D13" s="36"/>
      <x:c r="E13" s="36"/>
      <x:c r="F13" s="36"/>
      <x:c r="G13" s="36"/>
      <x:c r="H13" s="36"/>
      <x:c r="I13" s="33"/>
      <x:c r="J13" s="33"/>
      <x:c r="K13" s="33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3"/>
      <x:c r="J14" s="33"/>
      <x:c r="K14" s="33"/>
    </x:row>
    <x:row r="15">
      <x:c r="A15" s="35" t="str">
        <x:v>Final governance rule</x:v>
      </x:c>
      <x:c r="B15" s="35" t="str"/>
      <x:c r="C15" s="35" t="str"/>
      <x:c r="D15" s="35" t="str"/>
      <x:c r="E15" s="35" t="str"/>
      <x:c r="F15" s="35" t="str"/>
      <x:c r="G15" s="35" t="str"/>
      <x:c r="H15" s="35" t="str"/>
      <x:c r="I15" s="33"/>
      <x:c r="J15" s="33"/>
      <x:c r="K15" s="33"/>
    </x:row>
    <x:row r="16">
      <x:c r="A16" s="36" t="str">
        <x:v>1</x:v>
      </x:c>
      <x:c r="B16" s="36" t="str">
        <x:v>If an older roadmap value conflicts with FINAL_AUDIT / this workbook, use the final audited value.</x:v>
      </x:c>
      <x:c r="C16" s="36" t="str"/>
      <x:c r="D16" s="36" t="str"/>
      <x:c r="E16" s="36" t="str"/>
      <x:c r="F16" s="36" t="str"/>
      <x:c r="G16" s="36" t="str"/>
      <x:c r="H16" s="36" t="str"/>
      <x:c r="I16" s="33"/>
      <x:c r="J16" s="33"/>
      <x:c r="K16" s="33"/>
    </x:row>
    <x:row r="17">
      <x:c r="A17" s="36" t="str">
        <x:v>2</x:v>
      </x:c>
      <x:c r="B17" s="36" t="str">
        <x:v>Correlation results are associations, not causal estimates.</x:v>
      </x:c>
      <x:c r="C17" s="36" t="str"/>
      <x:c r="D17" s="36" t="str"/>
      <x:c r="E17" s="36" t="str"/>
      <x:c r="F17" s="36" t="str"/>
      <x:c r="G17" s="36" t="str"/>
      <x:c r="H17" s="36" t="str"/>
      <x:c r="I17" s="33"/>
      <x:c r="J17" s="33"/>
      <x:c r="K17" s="33"/>
    </x:row>
    <x:row r="18">
      <x:c r="A18" s="36" t="str">
        <x:v>3</x:v>
      </x:c>
      <x:c r="B18" s="36" t="str">
        <x:v>Different analyses may have different n because eligibility depends on the fields required for that analysis.</x:v>
      </x:c>
      <x:c r="C18" s="36" t="str"/>
      <x:c r="D18" s="36" t="str"/>
      <x:c r="E18" s="36" t="str"/>
      <x:c r="F18" s="36" t="str"/>
      <x:c r="G18" s="36" t="str"/>
      <x:c r="H18" s="36" t="str"/>
      <x:c r="I18" s="33"/>
      <x:c r="J18" s="33"/>
      <x:c r="K18" s="33"/>
    </x:row>
    <x:row r="19">
      <x:c r="A19" s="36" t="str">
        <x:v>4</x:v>
      </x:c>
      <x:c r="B19" s="36" t="str">
        <x:v>A method change must be logged separately from a data correction.</x:v>
      </x:c>
      <x:c r="C19" s="36" t="str"/>
      <x:c r="D19" s="36" t="str"/>
      <x:c r="E19" s="36" t="str"/>
      <x:c r="F19" s="36" t="str"/>
      <x:c r="G19" s="36" t="str"/>
      <x:c r="H19" s="36" t="str"/>
      <x:c r="I19" s="33"/>
      <x:c r="J19" s="33"/>
      <x:c r="K19" s="33"/>
    </x:row>
    <x:row r="20">
      <x:c r="A20" s="36" t="str">
        <x:v>5</x:v>
      </x:c>
      <x:c r="B20" s="36" t="str">
        <x:v>All published CFI values must be generated from the final 2021–2023 baseline implementation.</x:v>
      </x:c>
      <x:c r="C20" s="36" t="str"/>
      <x:c r="D20" s="36" t="str"/>
      <x:c r="E20" s="36" t="str"/>
      <x:c r="F20" s="36" t="str"/>
      <x:c r="G20" s="36" t="str"/>
      <x:c r="H20" s="36" t="str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H1"/>
    <x:mergeCell ref="A2:H2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Revision Log</x:v>
      </x:c>
      <x:c r="B1" s="32"/>
      <x:c r="C1" s="32"/>
      <x:c r="D1" s="32"/>
      <x:c r="E1" s="32"/>
      <x:c r="F1" s="32"/>
      <x:c r="G1" s="32"/>
      <x:c r="H1" s="32"/>
      <x:c r="I1" s="32"/>
      <x:c r="J1" s="33"/>
      <x:c r="K1" s="33"/>
    </x:row>
    <x:row r="2" ht="34" customHeight="1">
      <x:c r="A2" s="34" t="str">
        <x:v>Chronological/analytical record of revisions made to improve data quality, integration and methodological consistency.</x:v>
      </x:c>
      <x:c r="B2" s="34"/>
      <x:c r="C2" s="34"/>
      <x:c r="D2" s="34"/>
      <x:c r="E2" s="34"/>
      <x:c r="F2" s="34"/>
      <x:c r="G2" s="34"/>
      <x:c r="H2" s="34"/>
      <x:c r="I2" s="34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ID</x:v>
      </x:c>
      <x:c r="B4" s="35" t="str">
        <x:v>Area</x:v>
      </x:c>
      <x:c r="C4" s="35" t="str">
        <x:v>Earlier state</x:v>
      </x:c>
      <x:c r="D4" s="35" t="str">
        <x:v>Issue found</x:v>
      </x:c>
      <x:c r="E4" s="35" t="str">
        <x:v>Control / revision</x:v>
      </x:c>
      <x:c r="F4" s="35" t="str">
        <x:v>Final state</x:v>
      </x:c>
      <x:c r="G4" s="35" t="str">
        <x:v>Impact</x:v>
      </x:c>
      <x:c r="H4" s="35" t="str">
        <x:v>Type</x:v>
      </x:c>
      <x:c r="I4" s="35" t="str">
        <x:v>Status</x:v>
      </x:c>
      <x:c r="J4" s="33"/>
      <x:c r="K4" s="33"/>
    </x:row>
    <x:row r="5">
      <x:c r="A5" s="36" t="str">
        <x:v>R01</x:v>
      </x:c>
      <x:c r="B5" s="36" t="str">
        <x:v>Production integration</x:v>
      </x:c>
      <x:c r="C5" s="36" t="str">
        <x:v>Raw FAOSTAT included aggregate reporting areas</x:v>
      </x:c>
      <x:c r="D5" s="36" t="str">
        <x:v>Regional/economic aggregates can duplicate country totals and inflate statistics</x:v>
      </x:c>
      <x:c r="E5" s="36" t="str">
        <x:v>Removed 38 aggregate areas during deterministic master build</x:v>
      </x:c>
      <x:c r="F5" s="36" t="str">
        <x:v>195 cleaned reporting countries retained</x:v>
      </x:c>
      <x:c r="G5" s="36" t="str">
        <x:v>Prevents double counting and pseudo-correlations</x:v>
      </x:c>
      <x:c r="H5" s="36" t="str">
        <x:v>Data cleaning</x:v>
      </x:c>
      <x:c r="I5" s="36" t="str">
        <x:v>Closed</x:v>
      </x:c>
      <x:c r="J5" s="33"/>
      <x:c r="K5" s="33"/>
    </x:row>
    <x:row r="6">
      <x:c r="A6" s="36" t="str">
        <x:v>R02</x:v>
      </x:c>
      <x:c r="B6" s="36" t="str">
        <x:v>Production structure</x:v>
      </x:c>
      <x:c r="C6" s="36" t="str">
        <x:v>Raw wide source</x:v>
      </x:c>
      <x:c r="D6" s="36" t="str">
        <x:v>Analysis required one grain across measures</x:v>
      </x:c>
      <x:c r="E6" s="36" t="str">
        <x:v>Reshaped to Country × Crop × Year; area/yield/production integrated into one master</x:v>
      </x:c>
      <x:c r="F6" s="36" t="str">
        <x:v>28,439 analytical rows</x:v>
      </x:c>
      <x:c r="G6" s="36" t="str">
        <x:v>Consistent keys and reproducible joins</x:v>
      </x:c>
      <x:c r="H6" s="36" t="str">
        <x:v>Data integration</x:v>
      </x:c>
      <x:c r="I6" s="36" t="str">
        <x:v>Closed</x:v>
      </x:c>
      <x:c r="J6" s="33"/>
      <x:c r="K6" s="33"/>
    </x:row>
    <x:row r="7">
      <x:c r="A7" s="36" t="str">
        <x:v>R03</x:v>
      </x:c>
      <x:c r="B7" s="36" t="str">
        <x:v>Production DQ</x:v>
      </x:c>
      <x:c r="C7" s="36" t="str">
        <x:v>Zeros and blanks could be conflated</x:v>
      </x:c>
      <x:c r="D7" s="36" t="str">
        <x:v>A zero can mean crop not grown; blank means reporting gap</x:v>
      </x:c>
      <x:c r="E7" s="36" t="str">
        <x:v>Added DQ markers and completeness/validity/uniqueness/consistency scorecard</x:v>
      </x:c>
      <x:c r="F7" s="36" t="str">
        <x:v>99.6% project DQ score</x:v>
      </x:c>
      <x:c r="G7" s="36" t="str">
        <x:v>Avoids treating valid zeros as missing</x:v>
      </x:c>
      <x:c r="H7" s="36" t="str">
        <x:v>Data quality</x:v>
      </x:c>
      <x:c r="I7" s="36" t="str">
        <x:v>Closed</x:v>
      </x:c>
      <x:c r="J7" s="33"/>
      <x:c r="K7" s="33"/>
    </x:row>
    <x:row r="8">
      <x:c r="A8" s="36" t="str">
        <x:v>R04</x:v>
      </x:c>
      <x:c r="B8" s="36" t="str">
        <x:v>Land/forest correlation</x:v>
      </x:c>
      <x:c r="C8" s="36" t="str">
        <x:v>Earlier result ≈ -0.82 with aggregates</x:v>
      </x:c>
      <x:c r="D8" s="36" t="str">
        <x:v>Aggregate regions created duplicated geography and inflated correlation</x:v>
      </x:c>
      <x:c r="E8" s="36" t="str">
        <x:v>Restricted analysis to cleaned production-master country list and 2000/2023 endpoints</x:v>
      </x:c>
      <x:c r="F8" s="36" t="str">
        <x:v>r=-0.3595; n=190; p=3.49E-07</x:v>
      </x:c>
      <x:c r="G8" s="36" t="str">
        <x:v>Headline land result corrected</x:v>
      </x:c>
      <x:c r="H8" s="36" t="str">
        <x:v>Data quality + method</x:v>
      </x:c>
      <x:c r="I8" s="36" t="str">
        <x:v>Closed</x:v>
      </x:c>
      <x:c r="J8" s="33"/>
      <x:c r="K8" s="33"/>
    </x:row>
    <x:row r="9">
      <x:c r="A9" s="36" t="str">
        <x:v>R05</x:v>
      </x:c>
      <x:c r="B9" s="36" t="str">
        <x:v>Land analysis window</x:v>
      </x:c>
      <x:c r="C9" s="36" t="str">
        <x:v>Earlier roadmap used land data through 2024</x:v>
      </x:c>
      <x:c r="D9" s="36" t="str">
        <x:v>Headline production story ends in 2023</x:v>
      </x:c>
      <x:c r="E9" s="36" t="str">
        <x:v>Aligned final headline correlation to 2000–2023</x:v>
      </x:c>
      <x:c r="F9" s="36" t="str">
        <x:v>2000–2023 for published headline</x:v>
      </x:c>
      <x:c r="G9" s="36" t="str">
        <x:v>Consistent time window</x:v>
      </x:c>
      <x:c r="H9" s="36" t="str">
        <x:v>Integration</x:v>
      </x:c>
      <x:c r="I9" s="36" t="str">
        <x:v>Closed</x:v>
      </x:c>
      <x:c r="J9" s="33"/>
      <x:c r="K9" s="33"/>
    </x:row>
    <x:row r="10">
      <x:c r="A10" s="36" t="str">
        <x:v>R06</x:v>
      </x:c>
      <x:c r="B10" s="36" t="str">
        <x:v>Fertilizer integration</x:v>
      </x:c>
      <x:c r="C10" s="36" t="str">
        <x:v>National fertilizer source separate from crop-level production</x:v>
      </x:c>
      <x:c r="D10" s="36" t="str">
        <x:v>Grain mismatch can create ambiguous crop attribution</x:v>
      </x:c>
      <x:c r="E10" s="36" t="str">
        <x:v>Built Cost_Master at Country × Year; retained national fertilizer intensity and flags; crop link explicitly inferred</x:v>
      </x:c>
      <x:c r="F10" s="36" t="str">
        <x:v>National input-pressure layer, not crop-level causal attribution</x:v>
      </x:c>
      <x:c r="G10" s="36" t="str">
        <x:v>Prevents overclaiming</x:v>
      </x:c>
      <x:c r="H10" s="36" t="str">
        <x:v>Integration + interpretation</x:v>
      </x:c>
      <x:c r="I10" s="36" t="str">
        <x:v>Closed</x:v>
      </x:c>
      <x:c r="J10" s="33"/>
      <x:c r="K10" s="33"/>
    </x:row>
    <x:row r="11">
      <x:c r="A11" s="36" t="str">
        <x:v>R07</x:v>
      </x:c>
      <x:c r="B11" s="36" t="str">
        <x:v>Fertilizer correlation</x:v>
      </x:c>
      <x:c r="C11" s="36" t="str">
        <x:v>Roadmap reported r≈+0.51, p≈1E-12</x:v>
      </x:c>
      <x:c r="D11" s="36" t="str">
        <x:v>Value was not tied to the later cereal-only definition</x:v>
      </x:c>
      <x:c r="E11" s="36" t="str">
        <x:v>Reproduced old result as r=+0.5034, n=170, p=2.63E-12 using 2023 aggregate yield across the five earlier 'primary-scope' crops: Rice, Sorghum, Soybeans, Wheat, Potatoes</x:v>
      </x:c>
      <x:c r="F11" s="36" t="str">
        <x:v>Old +0.51 provenance resolved</x:v>
      </x:c>
      <x:c r="G11" s="36" t="str">
        <x:v>Shows discrepancy was a scope/method change, not a calculation failure</x:v>
      </x:c>
      <x:c r="H11" s="36" t="str">
        <x:v>Method reconciliation</x:v>
      </x:c>
      <x:c r="I11" s="36" t="str">
        <x:v>Closed</x:v>
      </x:c>
      <x:c r="J11" s="33"/>
      <x:c r="K11" s="33"/>
    </x:row>
    <x:row r="12">
      <x:c r="A12" s="36" t="str">
        <x:v>R08</x:v>
      </x:c>
      <x:c r="B12" s="36" t="str">
        <x:v>Fertilizer correlation — final</x:v>
      </x:c>
      <x:c r="C12" s="36" t="str">
        <x:v>Primary-scope mix included non-cereal crops with different yield scales</x:v>
      </x:c>
      <x:c r="D12" s="36" t="str">
        <x:v>Need a more coherent national yield denominator</x:v>
      </x:c>
      <x:c r="E12" s="36" t="str">
        <x:v>Final script uses six cereals: Maize, Rice, Wheat, Sorghum, Millet, Barley; aggregate cereal yield = total production / total harvested area</x:v>
      </x:c>
      <x:c r="F12" s="36" t="str">
        <x:v>r=+0.5822; n=173; p=4.40E-17</x:v>
      </x:c>
      <x:c r="G12" s="36" t="str">
        <x:v>Final reproducible correlation is +0.58</x:v>
      </x:c>
      <x:c r="H12" s="36" t="str">
        <x:v>Method refinement</x:v>
      </x:c>
      <x:c r="I12" s="36" t="str">
        <x:v>Closed</x:v>
      </x:c>
      <x:c r="J12" s="33"/>
      <x:c r="K12" s="33"/>
    </x:row>
    <x:row r="13">
      <x:c r="A13" s="36" t="str">
        <x:v>R09</x:v>
      </x:c>
      <x:c r="B13" s="36" t="str">
        <x:v>Correlation wording</x:v>
      </x:c>
      <x:c r="C13" s="36" t="str">
        <x:v>Earlier script/presentation could imply 'cost' or mechanism</x:v>
      </x:c>
      <x:c r="D13" s="36" t="str">
        <x:v>Pearson r does not prove fertilizer caused yield or cropland caused forest loss</x:v>
      </x:c>
      <x:c r="E13" s="36" t="str">
        <x:v>Changed wording to 'associated with' / 'move together'; documented grain limitations</x:v>
      </x:c>
      <x:c r="F13" s="36" t="str">
        <x:v>Association, not causation</x:v>
      </x:c>
      <x:c r="G13" s="36" t="str">
        <x:v>Improves statistical validity</x:v>
      </x:c>
      <x:c r="H13" s="36" t="str">
        <x:v>Interpretation</x:v>
      </x:c>
      <x:c r="I13" s="36" t="str">
        <x:v>Closed</x:v>
      </x:c>
      <x:c r="J13" s="33"/>
      <x:c r="K13" s="33"/>
    </x:row>
    <x:row r="14">
      <x:c r="A14" s="36" t="str">
        <x:v>R10</x:v>
      </x:c>
      <x:c r="B14" s="36" t="str">
        <x:v>Resilience baseline</x:v>
      </x:c>
      <x:c r="C14" s="36" t="str">
        <x:v>Earlier scripts used a single 2023 endpoint</x:v>
      </x:c>
      <x:c r="D14" s="36" t="str">
        <x:v>Single-year output can be noisy</x:v>
      </x:c>
      <x:c r="E14" s="36" t="str">
        <x:v>Final app/CFI uses 2021–2023 average recent production</x:v>
      </x:c>
      <x:c r="F14" s="36" t="str">
        <x:v>Recent baseline stabilized</x:v>
      </x:c>
      <x:c r="G14" s="36" t="str">
        <x:v>Changes exposure, top output and resilience ratios</x:v>
      </x:c>
      <x:c r="H14" s="36" t="str">
        <x:v>Method refinement</x:v>
      </x:c>
      <x:c r="I14" s="36" t="str">
        <x:v>Closed</x:v>
      </x:c>
      <x:c r="J14" s="33"/>
      <x:c r="K14" s="33"/>
    </x:row>
    <x:row r="15">
      <x:c r="A15" s="36" t="str">
        <x:v>R11</x:v>
      </x:c>
      <x:c r="B15" s="36" t="str">
        <x:v>Resilience result</x:v>
      </x:c>
      <x:c r="C15" s="36" t="str">
        <x:v>Earlier roadmap said 7 of 10 uncoverable</x:v>
      </x:c>
      <x:c r="D15" s="36" t="str">
        <x:v>Final recent-baseline calculation differs</x:v>
      </x:c>
      <x:c r="E15" s="36" t="str">
        <x:v>Recomputed all 10 crops from final master</x:v>
      </x:c>
      <x:c r="F15" s="36" t="str">
        <x:v>6 of 10 have resilience ratio &lt;1</x:v>
      </x:c>
      <x:c r="G15" s="36" t="str">
        <x:v>Final claim corrected</x:v>
      </x:c>
      <x:c r="H15" s="36" t="str">
        <x:v>Computation</x:v>
      </x:c>
      <x:c r="I15" s="36" t="str">
        <x:v>Closed</x:v>
      </x:c>
      <x:c r="J15" s="33"/>
      <x:c r="K15" s="33"/>
    </x:row>
    <x:row r="16">
      <x:c r="A16" s="36" t="str">
        <x:v>R12</x:v>
      </x:c>
      <x:c r="B16" s="36" t="str">
        <x:v>CFI hazard</x:v>
      </x:c>
      <x:c r="C16" s="36" t="str">
        <x:v>Earlier fragility script used ordinary volatility</x:v>
      </x:c>
      <x:c r="D16" s="36" t="str">
        <x:v>Upside volatility should not increase fragility</x:v>
      </x:c>
      <x:c r="E16" s="36" t="str">
        <x:v>Replaced with downside volatility: RMS of negative annual production changes</x:v>
      </x:c>
      <x:c r="F16" s="36" t="str">
        <x:v>Downside-only hazard</x:v>
      </x:c>
      <x:c r="G16" s="36" t="str">
        <x:v>Better aligns measure to disruption risk</x:v>
      </x:c>
      <x:c r="H16" s="36" t="str">
        <x:v>Method refinement</x:v>
      </x:c>
      <x:c r="I16" s="36" t="str">
        <x:v>Closed</x:v>
      </x:c>
      <x:c r="J16" s="33"/>
      <x:c r="K16" s="33"/>
    </x:row>
    <x:row r="17">
      <x:c r="A17" s="36" t="str">
        <x:v>R13</x:v>
      </x:c>
      <x:c r="B17" s="36" t="str">
        <x:v>CFI normalization</x:v>
      </x:c>
      <x:c r="C17" s="36" t="str">
        <x:v>Earlier roadmap used older normalization/weighting language</x:v>
      </x:c>
      <x:c r="D17" s="36" t="str">
        <x:v>Did not match final app</x:v>
      </x:c>
      <x:c r="E17" s="36" t="str">
        <x:v>Fixed E cap=50%, downside cap=20%; H=.5E*+.5D*; CFI=100*S*(.70+.30H)</x:v>
      </x:c>
      <x:c r="F17" s="36" t="str">
        <x:v>App, methodology and canonical script aligned</x:v>
      </x:c>
      <x:c r="G17" s="36" t="str">
        <x:v>Single source of truth</x:v>
      </x:c>
      <x:c r="H17" s="36" t="str">
        <x:v>Integration</x:v>
      </x:c>
      <x:c r="I17" s="36" t="str">
        <x:v>Closed</x:v>
      </x:c>
      <x:c r="J17" s="33"/>
      <x:c r="K17" s="33"/>
    </x:row>
    <x:row r="18">
      <x:c r="A18" s="36" t="str">
        <x:v>R14</x:v>
      </x:c>
      <x:c r="B18" s="36" t="str">
        <x:v>35% shock</x:v>
      </x:c>
      <x:c r="C18" s="36" t="str">
        <x:v>Earlier materials called it validation</x:v>
      </x:c>
      <x:c r="D18" s="36" t="str">
        <x:v>Shock coverage uses same backfill estimate as resilience</x:v>
      </x:c>
      <x:c r="E18" s="36" t="str">
        <x:v>Reclassified as scenario/reality check; sensitivity analysis used for robustness</x:v>
      </x:c>
      <x:c r="F18" s="36" t="str">
        <x:v>No claim of independent validation</x:v>
      </x:c>
      <x:c r="G18" s="36" t="str">
        <x:v>Avoids circular validation claim</x:v>
      </x:c>
      <x:c r="H18" s="36" t="str">
        <x:v>Methodology</x:v>
      </x:c>
      <x:c r="I18" s="36" t="str">
        <x:v>Closed</x:v>
      </x:c>
      <x:c r="J18" s="33"/>
      <x:c r="K18" s="33"/>
    </x:row>
    <x:row r="19">
      <x:c r="A19" s="36" t="str">
        <x:v>R15</x:v>
      </x:c>
      <x:c r="B19" s="36" t="str">
        <x:v>Trade</x:v>
      </x:c>
      <x:c r="C19" s="36" t="str">
        <x:v>Explored as extension to fragile-producer analysis</x:v>
      </x:c>
      <x:c r="D19" s="36" t="str">
        <x:v>Producer is not always exporter; raw XLSX can be truncated by Excel row limit</x:v>
      </x:c>
      <x:c r="E19" s="36" t="str">
        <x:v>Kept trade script as optional/supporting; excluded from CFI; raw 119 MB XLSX excluded from GitHub</x:v>
      </x:c>
      <x:c r="F19" s="36" t="str">
        <x:v>Trade documented as extension</x:v>
      </x:c>
      <x:c r="G19" s="36" t="str">
        <x:v>Prevents mixing production and trade exposure</x:v>
      </x:c>
      <x:c r="H19" s="36" t="str">
        <x:v>Scope + integration</x:v>
      </x:c>
      <x:c r="I19" s="36" t="str">
        <x:v>Closed</x:v>
      </x:c>
      <x:c r="J19" s="33"/>
      <x:c r="K19" s="33"/>
    </x:row>
    <x:row r="20">
      <x:c r="A20" s="36" t="str">
        <x:v>R16</x:v>
      </x:c>
      <x:c r="B20" s="36" t="str">
        <x:v>Water</x:v>
      </x:c>
      <x:c r="C20" s="36" t="str">
        <x:v>Tested as possible cost layer</x:v>
      </x:c>
      <x:c r="D20" s="36" t="str">
        <x:v>National water stress did not discriminate major producers well</x:v>
      </x:c>
      <x:c r="E20" s="36" t="str">
        <x:v>Excluded from final model; documented as future basin-level extension</x:v>
      </x:c>
      <x:c r="F20" s="36" t="str">
        <x:v>Not part of final score</x:v>
      </x:c>
      <x:c r="G20" s="36" t="str">
        <x:v>Avoids weak feature inclusion</x:v>
      </x:c>
      <x:c r="H20" s="36" t="str">
        <x:v>Scope</x:v>
      </x:c>
      <x:c r="I20" s="36" t="str">
        <x:v>Closed</x:v>
      </x:c>
      <x:c r="J20" s="33"/>
      <x:c r="K20" s="33"/>
    </x:row>
    <x:row r="21">
      <x:c r="A21" s="36" t="str">
        <x:v>R17</x:v>
      </x:c>
      <x:c r="B21" s="36" t="str">
        <x:v>File naming</x:v>
      </x:c>
      <x:c r="C21" s="36" t="str">
        <x:v>Master_clean-2.xlsx appeared in working files</x:v>
      </x:c>
      <x:c r="D21" s="36" t="str">
        <x:v>Multiple names risk broken app paths / ambiguity</x:v>
      </x:c>
      <x:c r="E21" s="36" t="str">
        <x:v>Canonical project filename set to Master_clean.xlsx; code/docs updated</x:v>
      </x:c>
      <x:c r="F21" s="36" t="str">
        <x:v>Master_clean.xlsx</x:v>
      </x:c>
      <x:c r="G21" s="36" t="str">
        <x:v>Removes version-name ambiguity</x:v>
      </x:c>
      <x:c r="H21" s="36" t="str">
        <x:v>Configuration control</x:v>
      </x:c>
      <x:c r="I21" s="36" t="str">
        <x:v>Closed</x:v>
      </x:c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I1"/>
    <x:mergeCell ref="A2:I2"/>
  </x:mergeCells>
  <x:conditionalFormatting sqref="I5:I40">
    <x:cfRule type="expression" dxfId="0" priority="1">
      <x:formula>I5="Closed"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Correlation Reconciliation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</x:row>
    <x:row r="2" ht="34" customHeight="1">
      <x:c r="A2" s="34" t="str">
        <x:v>Why the old +0.51 and final +0.58 fertilizer/yield values differ, and why n=173 is not expected to equal the land/forest n=190.</x:v>
      </x:c>
      <x:c r="B2" s="34"/>
      <x:c r="C2" s="34"/>
      <x:c r="D2" s="34"/>
      <x:c r="E2" s="34"/>
      <x:c r="F2" s="34"/>
      <x:c r="G2" s="34"/>
      <x:c r="H2" s="34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Version</x:v>
      </x:c>
      <x:c r="B4" s="35" t="str">
        <x:v>Crop scope</x:v>
      </x:c>
      <x:c r="C4" s="35" t="str">
        <x:v>Year</x:v>
      </x:c>
      <x:c r="D4" s="35" t="str">
        <x:v>Yield construction</x:v>
      </x:c>
      <x:c r="E4" s="35" t="str">
        <x:v>n</x:v>
      </x:c>
      <x:c r="F4" s="35" t="str">
        <x:v>Pearson r</x:v>
      </x:c>
      <x:c r="G4" s="35" t="str">
        <x:v>p-value</x:v>
      </x:c>
      <x:c r="H4" s="35" t="str">
        <x:v>Decision</x:v>
      </x:c>
      <x:c r="I4" s="33"/>
      <x:c r="J4" s="33"/>
      <x:c r="K4" s="33"/>
    </x:row>
    <x:row r="5">
      <x:c r="A5" s="36" t="str">
        <x:v>Earlier roadmap</x:v>
      </x:c>
      <x:c r="B5" s="36" t="str">
        <x:v>5 primary-scope crops: Rice, Sorghum, Soybeans, Wheat, Potatoes</x:v>
      </x:c>
      <x:c r="C5" s="36" t="str">
        <x:v>2023</x:v>
      </x:c>
      <x:c r="D5" s="36" t="str">
        <x:v>Aggregate yield = total production / total harvested area</x:v>
      </x:c>
      <x:c r="E5" s="36" t="str">
        <x:v>170</x:v>
      </x:c>
      <x:c r="F5" s="42" t="n">
        <x:v>0.5033680787</x:v>
      </x:c>
      <x:c r="G5" s="42" t="n">
        <x:v>2.6297812147e-12</x:v>
      </x:c>
      <x:c r="H5" s="36" t="str">
        <x:v>Reproduces roadmap ≈+0.51; retained as historical method only</x:v>
      </x:c>
      <x:c r="I5" s="33"/>
      <x:c r="J5" s="33"/>
      <x:c r="K5" s="33"/>
    </x:row>
    <x:row r="6">
      <x:c r="A6" s="36" t="str">
        <x:v>Final fertilizer analysis</x:v>
      </x:c>
      <x:c r="B6" s="36" t="str">
        <x:v>6 cereals: Maize, Rice, Wheat, Sorghum, Millet, Barley</x:v>
      </x:c>
      <x:c r="C6" s="36" t="str">
        <x:v>2023</x:v>
      </x:c>
      <x:c r="D6" s="36" t="str">
        <x:v>National cereal yield = total cereal production / total cereal harvested area</x:v>
      </x:c>
      <x:c r="E6" s="36" t="str">
        <x:v>173</x:v>
      </x:c>
      <x:c r="F6" s="42" t="n">
        <x:v>0.5822208088</x:v>
      </x:c>
      <x:c r="G6" s="42" t="n">
        <x:v>4.3978604935e-17</x:v>
      </x:c>
      <x:c r="H6" s="36" t="str">
        <x:v>Authoritative final method</x:v>
      </x:c>
      <x:c r="I6" s="33"/>
      <x:c r="J6" s="33"/>
      <x:c r="K6" s="33"/>
    </x:row>
    <x:row r="7">
      <x:c r="A7" s="36" t="str">
        <x:v>Land/forest analysis</x:v>
      </x:c>
      <x:c r="B7" s="36" t="str">
        <x:v>Not crop-specific; cleaned master country whitelist</x:v>
      </x:c>
      <x:c r="C7" s="36" t="str">
        <x:v>2000→2023</x:v>
      </x:c>
      <x:c r="D7" s="36" t="str">
        <x:v>Change in national cropland vs change in national forest land</x:v>
      </x:c>
      <x:c r="E7" s="36" t="str">
        <x:v>190</x:v>
      </x:c>
      <x:c r="F7" s="42" t="n">
        <x:v>-0.3595466826</x:v>
      </x:c>
      <x:c r="G7" s="42" t="n">
        <x:v>3.4927213967e-7</x:v>
      </x:c>
      <x:c r="H7" s="36" t="str">
        <x:v>Authoritative final land result</x:v>
      </x:c>
      <x:c r="I7" s="33"/>
      <x:c r="J7" s="33"/>
      <x:c r="K7" s="33"/>
    </x:row>
    <x:row r="8">
      <x:c r="A8" s="36" t="str">
        <x:v>Earlier land analysis</x:v>
      </x:c>
      <x:c r="B8" s="36" t="str">
        <x:v>Included aggregate reporting areas / broader land universe</x:v>
      </x:c>
      <x:c r="C8" s="36" t="str">
        <x:v>Earlier 2000→latest variants</x:v>
      </x:c>
      <x:c r="D8" s="36" t="str">
        <x:v>National land change</x:v>
      </x:c>
      <x:c r="E8" s="36" t="str">
        <x:v>215 (older roadmap)</x:v>
      </x:c>
      <x:c r="F8" s="42" t="n">
        <x:v>-0.39</x:v>
      </x:c>
      <x:c r="G8" s="42"/>
      <x:c r="H8" s="36" t="str">
        <x:v>Superseded by cleaned-country 190-country result</x:v>
      </x:c>
      <x:c r="I8" s="33"/>
      <x:c r="J8" s="33"/>
      <x:c r="K8" s="33"/>
    </x:row>
    <x:row r="9">
      <x:c r="A9" s="36"/>
      <x:c r="B9" s="36"/>
      <x:c r="C9" s="36"/>
      <x:c r="D9" s="36"/>
      <x:c r="E9" s="36"/>
      <x:c r="F9" s="36"/>
      <x:c r="G9" s="36"/>
      <x:c r="H9" s="36"/>
      <x:c r="I9" s="33"/>
      <x:c r="J9" s="33"/>
      <x:c r="K9" s="33"/>
    </x:row>
    <x:row r="10">
      <x:c r="A10" s="35" t="str">
        <x:v>Interpretation note</x:v>
      </x:c>
      <x:c r="B10" s="35" t="str"/>
      <x:c r="C10" s="35" t="str"/>
      <x:c r="D10" s="35" t="str"/>
      <x:c r="E10" s="35" t="str"/>
      <x:c r="F10" s="35" t="str"/>
      <x:c r="G10" s="35" t="str"/>
      <x:c r="H10" s="35" t="str"/>
      <x:c r="I10" s="33"/>
      <x:c r="J10" s="33"/>
      <x:c r="K10" s="33"/>
    </x:row>
    <x:row r="11">
      <x:c r="A11" s="36" t="str">
        <x:v>The +0.51 → +0.58 change is a METHOD/SCOPE revision, not evidence that the underlying fertilizer data became 'better'.</x:v>
      </x:c>
      <x:c r="B11" s="36" t="str"/>
      <x:c r="C11" s="36" t="str"/>
      <x:c r="D11" s="36" t="str"/>
      <x:c r="E11" s="36" t="str"/>
      <x:c r="F11" s="36" t="str"/>
      <x:c r="G11" s="36" t="str"/>
      <x:c r="H11" s="36" t="str"/>
      <x:c r="I11" s="33"/>
      <x:c r="J11" s="33"/>
      <x:c r="K11" s="33"/>
    </x:row>
    <x:row r="12">
      <x:c r="A12" s="36" t="str">
        <x:v>The old +0.51 is reproducible when the earlier five-crop primary scope is used. The final +0.58 uses a cereal-only basket to reduce crop-mix distortion and matches the final analysis code.</x:v>
      </x:c>
      <x:c r="B12" s="36" t="str"/>
      <x:c r="C12" s="36" t="str"/>
      <x:c r="D12" s="36" t="str"/>
      <x:c r="E12" s="36" t="str"/>
      <x:c r="F12" s="36" t="str"/>
      <x:c r="G12" s="36" t="str"/>
      <x:c r="H12" s="36" t="str"/>
      <x:c r="I12" s="33"/>
      <x:c r="J12" s="33"/>
      <x:c r="K12" s="33"/>
    </x:row>
    <x:row r="13">
      <x:c r="A13" s="36" t="str">
        <x:v>The 190 vs 173 difference is also expected: land/forest eligibility requires endpoint land observations; fertilizer/yield eligibility requires 2023 fertilizer plus positive cereal harvested area/production.</x:v>
      </x:c>
      <x:c r="B13" s="36" t="str"/>
      <x:c r="C13" s="36" t="str"/>
      <x:c r="D13" s="36" t="str"/>
      <x:c r="E13" s="36" t="str"/>
      <x:c r="F13" s="36" t="str"/>
      <x:c r="G13" s="36" t="str"/>
      <x:c r="H13" s="36" t="str"/>
      <x:c r="I13" s="33"/>
      <x:c r="J13" s="33"/>
      <x:c r="K13" s="33"/>
    </x:row>
    <x:row r="14">
      <x:c r="A14" s="36" t="str">
        <x:v>Never present the two sample sizes as if they are attrition from the same analysis population.</x:v>
      </x:c>
      <x:c r="B14" s="36" t="str"/>
      <x:c r="C14" s="36" t="str"/>
      <x:c r="D14" s="36" t="str"/>
      <x:c r="E14" s="36" t="str"/>
      <x:c r="F14" s="36" t="str"/>
      <x:c r="G14" s="36" t="str"/>
      <x:c r="H14" s="36" t="str"/>
      <x:c r="I14" s="33"/>
      <x:c r="J14" s="33"/>
      <x:c r="K14" s="33"/>
    </x:row>
    <x:row r="15">
      <x:c r="A15" s="36" t="str">
        <x:v>Both correlations remain national-level associations and should not be described as causal effects.</x:v>
      </x:c>
      <x:c r="B15" s="36" t="str"/>
      <x:c r="C15" s="36" t="str"/>
      <x:c r="D15" s="36" t="str"/>
      <x:c r="E15" s="36" t="str"/>
      <x:c r="F15" s="36" t="str"/>
      <x:c r="G15" s="36" t="str"/>
      <x:c r="H15" s="36" t="str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H1"/>
    <x:mergeCell ref="A2:H2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Sample Reconciliation — 190 vs 173 Countries</x:v>
      </x:c>
      <x:c r="B1" s="32"/>
      <x:c r="C1" s="32"/>
      <x:c r="D1" s="32"/>
      <x:c r="E1" s="32"/>
      <x:c r="F1" s="33"/>
      <x:c r="G1" s="33"/>
      <x:c r="H1" s="33"/>
      <x:c r="I1" s="33"/>
      <x:c r="J1" s="33"/>
      <x:c r="K1" s="33"/>
    </x:row>
    <x:row r="2" ht="34" customHeight="1">
      <x:c r="A2" s="34" t="str">
        <x:v>Complete-case eligibility differs by analysis. This sheet documents the exact country-set differences observed in the final files.</x:v>
      </x:c>
      <x:c r="B2" s="34"/>
      <x:c r="C2" s="34"/>
      <x:c r="D2" s="34"/>
      <x:c r="E2" s="34"/>
      <x:c r="F2" s="33"/>
      <x:c r="G2" s="33"/>
      <x:c r="H2" s="33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Country</x:v>
      </x:c>
      <x:c r="B4" s="35" t="str">
        <x:v>In land/forest n=190?</x:v>
      </x:c>
      <x:c r="C4" s="35" t="str">
        <x:v>In fertilizer/yield n=173?</x:v>
      </x:c>
      <x:c r="D4" s="35" t="str">
        <x:v>Reason for difference</x:v>
      </x:c>
      <x:c r="E4" s="35" t="str">
        <x:v>DQ interpretation</x:v>
      </x:c>
      <x:c r="F4" s="33"/>
      <x:c r="G4" s="35" t="str">
        <x:v>Sample control</x:v>
      </x:c>
      <x:c r="H4" s="35" t="str">
        <x:v>Count</x:v>
      </x:c>
      <x:c r="I4" s="33"/>
      <x:c r="J4" s="33"/>
      <x:c r="K4" s="33"/>
    </x:row>
    <x:row r="5">
      <x:c r="A5" s="36" t="str">
        <x:v>Bahrain</x:v>
      </x:c>
      <x:c r="B5" s="36" t="str">
        <x:v>Yes</x:v>
      </x:c>
      <x:c r="C5" s="36" t="str">
        <x:v>No</x:v>
      </x:c>
      <x:c r="D5" s="36" t="str">
        <x:v>No qualifying positive 2023 production/harvested area across the six-cereal basket</x:v>
      </x:c>
      <x:c r="E5" s="36" t="str">
        <x:v>Excluded by complete-case rule; not imputed</x:v>
      </x:c>
      <x:c r="F5" s="33"/>
      <x:c r="G5" s="33" t="str">
        <x:v>Land/forest complete cases</x:v>
      </x:c>
      <x:c r="H5" s="33" t="n">
        <x:v>190</x:v>
      </x:c>
      <x:c r="I5" s="33"/>
      <x:c r="J5" s="33"/>
      <x:c r="K5" s="33"/>
    </x:row>
    <x:row r="6">
      <x:c r="A6" s="36" t="str">
        <x:v>Cook Islands</x:v>
      </x:c>
      <x:c r="B6" s="36" t="str">
        <x:v>Yes</x:v>
      </x:c>
      <x:c r="C6" s="36" t="str">
        <x:v>No</x:v>
      </x:c>
      <x:c r="D6" s="36" t="str">
        <x:v>No qualifying positive 2023 production/harvested area across the six-cereal basket</x:v>
      </x:c>
      <x:c r="E6" s="36" t="str">
        <x:v>Excluded by complete-case rule; not imputed</x:v>
      </x:c>
      <x:c r="F6" s="33"/>
      <x:c r="G6" s="33" t="str">
        <x:v>Fertilizer/yield complete cases</x:v>
      </x:c>
      <x:c r="H6" s="33" t="n">
        <x:v>173</x:v>
      </x:c>
      <x:c r="I6" s="33"/>
      <x:c r="J6" s="33"/>
      <x:c r="K6" s="33"/>
    </x:row>
    <x:row r="7">
      <x:c r="A7" s="36" t="str">
        <x:v>Equatorial Guinea</x:v>
      </x:c>
      <x:c r="B7" s="36" t="str">
        <x:v>Yes</x:v>
      </x:c>
      <x:c r="C7" s="36" t="str">
        <x:v>No</x:v>
      </x:c>
      <x:c r="D7" s="36" t="str">
        <x:v>No qualifying positive 2023 production/harvested area across the six-cereal basket</x:v>
      </x:c>
      <x:c r="E7" s="36" t="str">
        <x:v>Excluded by complete-case rule; not imputed</x:v>
      </x:c>
      <x:c r="F7" s="33"/>
      <x:c r="G7" s="33" t="str">
        <x:v>Land cases not in fertilizer sample</x:v>
      </x:c>
      <x:c r="H7" s="33" t="n">
        <x:v>21</x:v>
      </x:c>
      <x:c r="I7" s="33"/>
      <x:c r="J7" s="33"/>
      <x:c r="K7" s="33"/>
    </x:row>
    <x:row r="8">
      <x:c r="A8" s="36" t="str">
        <x:v>Faroe Islands</x:v>
      </x:c>
      <x:c r="B8" s="36" t="str">
        <x:v>Yes</x:v>
      </x:c>
      <x:c r="C8" s="36" t="str">
        <x:v>No</x:v>
      </x:c>
      <x:c r="D8" s="36" t="str">
        <x:v>No qualifying positive 2023 production/harvested area across the six-cereal basket</x:v>
      </x:c>
      <x:c r="E8" s="36" t="str">
        <x:v>Excluded by complete-case rule; not imputed</x:v>
      </x:c>
      <x:c r="F8" s="33"/>
      <x:c r="G8" s="33" t="str">
        <x:v>Fertilizer cases not in land sample</x:v>
      </x:c>
      <x:c r="H8" s="33" t="n">
        <x:v>4</x:v>
      </x:c>
      <x:c r="I8" s="33"/>
      <x:c r="J8" s="33"/>
      <x:c r="K8" s="33"/>
    </x:row>
    <x:row r="9">
      <x:c r="A9" s="36" t="str">
        <x:v>French Guiana</x:v>
      </x:c>
      <x:c r="B9" s="36" t="str">
        <x:v>Yes</x:v>
      </x:c>
      <x:c r="C9" s="36" t="str">
        <x:v>No</x:v>
      </x:c>
      <x:c r="D9" s="36" t="str">
        <x:v>No qualifying positive 2023 production/harvested area across the six-cereal basket</x:v>
      </x:c>
      <x:c r="E9" s="36" t="str">
        <x:v>Excluded by complete-case rule; not imputed</x:v>
      </x:c>
      <x:c r="F9" s="33"/>
      <x:c r="G9" s="33"/>
      <x:c r="H9" s="33"/>
      <x:c r="I9" s="33"/>
      <x:c r="J9" s="33"/>
      <x:c r="K9" s="33"/>
    </x:row>
    <x:row r="10">
      <x:c r="A10" s="36" t="str">
        <x:v>French Polynesia</x:v>
      </x:c>
      <x:c r="B10" s="36" t="str">
        <x:v>Yes</x:v>
      </x:c>
      <x:c r="C10" s="36" t="str">
        <x:v>No</x:v>
      </x:c>
      <x:c r="D10" s="36" t="str">
        <x:v>No qualifying positive 2023 production/harvested area across the six-cereal basket</x:v>
      </x:c>
      <x:c r="E10" s="36" t="str">
        <x:v>Excluded by complete-case rule; not imputed</x:v>
      </x:c>
      <x:c r="F10" s="33"/>
      <x:c r="G10" s="35" t="str">
        <x:v>Rule</x:v>
      </x:c>
      <x:c r="H10" s="35" t="str">
        <x:v>Meaning</x:v>
      </x:c>
      <x:c r="I10" s="33"/>
      <x:c r="J10" s="33"/>
      <x:c r="K10" s="33"/>
    </x:row>
    <x:row r="11">
      <x:c r="A11" s="36" t="str">
        <x:v>Guadeloupe</x:v>
      </x:c>
      <x:c r="B11" s="36" t="str">
        <x:v>Yes</x:v>
      </x:c>
      <x:c r="C11" s="36" t="str">
        <x:v>No</x:v>
      </x:c>
      <x:c r="D11" s="36" t="str">
        <x:v>No qualifying positive 2023 production/harvested area across the six-cereal basket</x:v>
      </x:c>
      <x:c r="E11" s="36" t="str">
        <x:v>Excluded by complete-case rule; not imputed</x:v>
      </x:c>
      <x:c r="F11" s="33"/>
      <x:c r="G11" s="33" t="str">
        <x:v>No forced common n</x:v>
      </x:c>
      <x:c r="H11" s="33" t="str">
        <x:v>Each statistic uses the complete cases required for that statistic.</x:v>
      </x:c>
      <x:c r="I11" s="33"/>
      <x:c r="J11" s="33"/>
      <x:c r="K11" s="33"/>
    </x:row>
    <x:row r="12">
      <x:c r="A12" s="36" t="str">
        <x:v>Malta</x:v>
      </x:c>
      <x:c r="B12" s="36" t="str">
        <x:v>Yes</x:v>
      </x:c>
      <x:c r="C12" s="36" t="str">
        <x:v>No</x:v>
      </x:c>
      <x:c r="D12" s="36" t="str">
        <x:v>No qualifying positive 2023 production/harvested area across the six-cereal basket</x:v>
      </x:c>
      <x:c r="E12" s="36" t="str">
        <x:v>Excluded by complete-case rule; not imputed</x:v>
      </x:c>
      <x:c r="F12" s="33"/>
      <x:c r="G12" s="33" t="str">
        <x:v>No imputation for correlation eligibility</x:v>
      </x:c>
      <x:c r="H12" s="33" t="str">
        <x:v>Countries missing required inputs are excluded rather than filled with assumed values.</x:v>
      </x:c>
      <x:c r="I12" s="33"/>
      <x:c r="J12" s="33"/>
      <x:c r="K12" s="33"/>
    </x:row>
    <x:row r="13">
      <x:c r="A13" s="36" t="str">
        <x:v>Martinique</x:v>
      </x:c>
      <x:c r="B13" s="36" t="str">
        <x:v>Yes</x:v>
      </x:c>
      <x:c r="C13" s="36" t="str">
        <x:v>No</x:v>
      </x:c>
      <x:c r="D13" s="36" t="str">
        <x:v>No qualifying positive 2023 production/harvested area across the six-cereal basket</x:v>
      </x:c>
      <x:c r="E13" s="36" t="str">
        <x:v>Excluded by complete-case rule; not imputed</x:v>
      </x:c>
      <x:c r="F13" s="33"/>
      <x:c r="G13" s="33"/>
      <x:c r="H13" s="33"/>
      <x:c r="I13" s="33"/>
      <x:c r="J13" s="33"/>
      <x:c r="K13" s="33"/>
    </x:row>
    <x:row r="14">
      <x:c r="A14" s="36" t="str">
        <x:v>Niue</x:v>
      </x:c>
      <x:c r="B14" s="36" t="str">
        <x:v>Yes</x:v>
      </x:c>
      <x:c r="C14" s="36" t="str">
        <x:v>No</x:v>
      </x:c>
      <x:c r="D14" s="36" t="str">
        <x:v>No qualifying 2023 cereal production/area and no usable 2023 fertilizer-intensity value</x:v>
      </x:c>
      <x:c r="E14" s="36" t="str">
        <x:v>Excluded by complete-case rule; not imputed</x:v>
      </x:c>
      <x:c r="F14" s="33"/>
      <x:c r="G14" s="33"/>
      <x:c r="H14" s="33"/>
      <x:c r="I14" s="33"/>
      <x:c r="J14" s="33"/>
      <x:c r="K14" s="33"/>
    </x:row>
    <x:row r="15">
      <x:c r="A15" s="36" t="str">
        <x:v>Palestine</x:v>
      </x:c>
      <x:c r="B15" s="36" t="str">
        <x:v>Yes</x:v>
      </x:c>
      <x:c r="C15" s="36" t="str">
        <x:v>No</x:v>
      </x:c>
      <x:c r="D15" s="36" t="str">
        <x:v>No qualifying positive 2023 production/harvested area across the six-cereal basket</x:v>
      </x:c>
      <x:c r="E15" s="36" t="str">
        <x:v>Excluded by complete-case rule; not imputed</x:v>
      </x:c>
      <x:c r="F15" s="33"/>
      <x:c r="G15" s="33"/>
      <x:c r="H15" s="33"/>
      <x:c r="I15" s="33"/>
      <x:c r="J15" s="33"/>
      <x:c r="K15" s="33"/>
    </x:row>
    <x:row r="16">
      <x:c r="A16" s="36" t="str">
        <x:v>Réunion</x:v>
      </x:c>
      <x:c r="B16" s="36" t="str">
        <x:v>Yes</x:v>
      </x:c>
      <x:c r="C16" s="36" t="str">
        <x:v>No</x:v>
      </x:c>
      <x:c r="D16" s="36" t="str">
        <x:v>No qualifying positive 2023 production/harvested area across the six-cereal basket</x:v>
      </x:c>
      <x:c r="E16" s="36" t="str">
        <x:v>Excluded by complete-case rule; not imputed</x:v>
      </x:c>
      <x:c r="F16" s="33"/>
      <x:c r="G16" s="33"/>
      <x:c r="H16" s="33"/>
      <x:c r="I16" s="33"/>
      <x:c r="J16" s="33"/>
      <x:c r="K16" s="33"/>
    </x:row>
    <x:row r="17">
      <x:c r="A17" s="36" t="str">
        <x:v>Saint Kitts and Nevis</x:v>
      </x:c>
      <x:c r="B17" s="36" t="str">
        <x:v>Yes</x:v>
      </x:c>
      <x:c r="C17" s="36" t="str">
        <x:v>No</x:v>
      </x:c>
      <x:c r="D17" s="36" t="str">
        <x:v>No qualifying positive 2023 production/harvested area across the six-cereal basket</x:v>
      </x:c>
      <x:c r="E17" s="36" t="str">
        <x:v>Excluded by complete-case rule; not imputed</x:v>
      </x:c>
      <x:c r="F17" s="33"/>
      <x:c r="G17" s="33"/>
      <x:c r="H17" s="33"/>
      <x:c r="I17" s="33"/>
      <x:c r="J17" s="33"/>
      <x:c r="K17" s="33"/>
    </x:row>
    <x:row r="18">
      <x:c r="A18" s="36" t="str">
        <x:v>Saint Lucia</x:v>
      </x:c>
      <x:c r="B18" s="36" t="str">
        <x:v>Yes</x:v>
      </x:c>
      <x:c r="C18" s="36" t="str">
        <x:v>No</x:v>
      </x:c>
      <x:c r="D18" s="36" t="str">
        <x:v>No qualifying positive 2023 production/harvested area across the six-cereal basket</x:v>
      </x:c>
      <x:c r="E18" s="36" t="str">
        <x:v>Excluded by complete-case rule; not imputed</x:v>
      </x:c>
      <x:c r="F18" s="33"/>
      <x:c r="G18" s="33"/>
      <x:c r="H18" s="33"/>
      <x:c r="I18" s="33"/>
      <x:c r="J18" s="33"/>
      <x:c r="K18" s="33"/>
    </x:row>
    <x:row r="19">
      <x:c r="A19" s="36" t="str">
        <x:v>Samoa</x:v>
      </x:c>
      <x:c r="B19" s="36" t="str">
        <x:v>Yes</x:v>
      </x:c>
      <x:c r="C19" s="36" t="str">
        <x:v>No</x:v>
      </x:c>
      <x:c r="D19" s="36" t="str">
        <x:v>No qualifying positive 2023 production/harvested area across the six-cereal basket</x:v>
      </x:c>
      <x:c r="E19" s="36" t="str">
        <x:v>Excluded by complete-case rule; not imputed</x:v>
      </x:c>
      <x:c r="F19" s="33"/>
      <x:c r="G19" s="33"/>
      <x:c r="H19" s="33"/>
      <x:c r="I19" s="33"/>
      <x:c r="J19" s="33"/>
      <x:c r="K19" s="33"/>
    </x:row>
    <x:row r="20">
      <x:c r="A20" s="36" t="str">
        <x:v>Seychelles</x:v>
      </x:c>
      <x:c r="B20" s="36" t="str">
        <x:v>Yes</x:v>
      </x:c>
      <x:c r="C20" s="36" t="str">
        <x:v>No</x:v>
      </x:c>
      <x:c r="D20" s="36" t="str">
        <x:v>No qualifying positive 2023 production/harvested area across the six-cereal basket</x:v>
      </x:c>
      <x:c r="E20" s="36" t="str">
        <x:v>Excluded by complete-case rule; not imputed</x:v>
      </x:c>
      <x:c r="F20" s="33"/>
      <x:c r="G20" s="33"/>
      <x:c r="H20" s="33"/>
      <x:c r="I20" s="33"/>
      <x:c r="J20" s="33"/>
      <x:c r="K20" s="33"/>
    </x:row>
    <x:row r="21">
      <x:c r="A21" s="36" t="str">
        <x:v>Sierra Leone</x:v>
      </x:c>
      <x:c r="B21" s="36" t="str">
        <x:v>Yes</x:v>
      </x:c>
      <x:c r="C21" s="36" t="str">
        <x:v>No</x:v>
      </x:c>
      <x:c r="D21" s="36" t="str">
        <x:v>2023 cereal production/area exists, but no usable 2023 fertilizer-intensity value</x:v>
      </x:c>
      <x:c r="E21" s="36" t="str">
        <x:v>Excluded by complete-case rule; not imputed</x:v>
      </x:c>
      <x:c r="F21" s="33"/>
      <x:c r="G21" s="33"/>
      <x:c r="H21" s="33"/>
      <x:c r="I21" s="33"/>
      <x:c r="J21" s="33"/>
      <x:c r="K21" s="33"/>
    </x:row>
    <x:row r="22">
      <x:c r="A22" s="36" t="str">
        <x:v>Singapore</x:v>
      </x:c>
      <x:c r="B22" s="36" t="str">
        <x:v>Yes</x:v>
      </x:c>
      <x:c r="C22" s="36" t="str">
        <x:v>No</x:v>
      </x:c>
      <x:c r="D22" s="36" t="str">
        <x:v>No qualifying positive 2023 production/harvested area across the six-cereal basket</x:v>
      </x:c>
      <x:c r="E22" s="36" t="str">
        <x:v>Excluded by complete-case rule; not imputed</x:v>
      </x:c>
      <x:c r="F22" s="33"/>
      <x:c r="G22" s="33"/>
      <x:c r="H22" s="33"/>
      <x:c r="I22" s="33"/>
      <x:c r="J22" s="33"/>
      <x:c r="K22" s="33"/>
    </x:row>
    <x:row r="23">
      <x:c r="A23" s="36" t="str">
        <x:v>Somalia</x:v>
      </x:c>
      <x:c r="B23" s="36" t="str">
        <x:v>Yes</x:v>
      </x:c>
      <x:c r="C23" s="36" t="str">
        <x:v>No</x:v>
      </x:c>
      <x:c r="D23" s="36" t="str">
        <x:v>2023 cereal production/area exists, but no usable 2023 fertilizer-intensity value</x:v>
      </x:c>
      <x:c r="E23" s="36" t="str">
        <x:v>Excluded by complete-case rule; not imputed</x:v>
      </x:c>
      <x:c r="F23" s="33"/>
      <x:c r="G23" s="33"/>
      <x:c r="H23" s="33"/>
      <x:c r="I23" s="33"/>
      <x:c r="J23" s="33"/>
      <x:c r="K23" s="33"/>
    </x:row>
    <x:row r="24">
      <x:c r="A24" s="36" t="str">
        <x:v>Timor-Leste</x:v>
      </x:c>
      <x:c r="B24" s="36" t="str">
        <x:v>Yes</x:v>
      </x:c>
      <x:c r="C24" s="36" t="str">
        <x:v>No</x:v>
      </x:c>
      <x:c r="D24" s="36" t="str">
        <x:v>2023 cereal production/area exists, but no usable 2023 fertilizer-intensity value</x:v>
      </x:c>
      <x:c r="E24" s="36" t="str">
        <x:v>Excluded by complete-case rule; not imputed</x:v>
      </x:c>
      <x:c r="F24" s="33"/>
      <x:c r="G24" s="33"/>
      <x:c r="H24" s="33"/>
      <x:c r="I24" s="33"/>
      <x:c r="J24" s="33"/>
      <x:c r="K24" s="33"/>
    </x:row>
    <x:row r="25">
      <x:c r="A25" s="36" t="str">
        <x:v>Tonga</x:v>
      </x:c>
      <x:c r="B25" s="36" t="str">
        <x:v>Yes</x:v>
      </x:c>
      <x:c r="C25" s="36" t="str">
        <x:v>No</x:v>
      </x:c>
      <x:c r="D25" s="36" t="str">
        <x:v>No qualifying positive 2023 production/harvested area across the six-cereal basket</x:v>
      </x:c>
      <x:c r="E25" s="36" t="str">
        <x:v>Excluded by complete-case rule; not imputed</x:v>
      </x:c>
      <x:c r="F25" s="33"/>
      <x:c r="G25" s="33"/>
      <x:c r="H25" s="33"/>
      <x:c r="I25" s="33"/>
      <x:c r="J25" s="33"/>
      <x:c r="K25" s="33"/>
    </x:row>
    <x:row r="26">
      <x:c r="A26" s="36" t="str">
        <x:v>Montenegro</x:v>
      </x:c>
      <x:c r="B26" s="36" t="str">
        <x:v>No</x:v>
      </x:c>
      <x:c r="C26" s="36" t="str">
        <x:v>Yes</x:v>
      </x:c>
      <x:c r="D26" s="36" t="str">
        <x:v>Has qualifying 2023 cereal + fertilizer data, but does not meet the 2000/2023 land/forest endpoint rule</x:v>
      </x:c>
      <x:c r="E26" s="36" t="str">
        <x:v>Included only in fertilizer/yield analysis</x:v>
      </x:c>
      <x:c r="F26" s="33"/>
      <x:c r="G26" s="33"/>
      <x:c r="H26" s="33"/>
      <x:c r="I26" s="33"/>
      <x:c r="J26" s="33"/>
      <x:c r="K26" s="33"/>
    </x:row>
    <x:row r="27">
      <x:c r="A27" s="36" t="str">
        <x:v>Serbia</x:v>
      </x:c>
      <x:c r="B27" s="36" t="str">
        <x:v>No</x:v>
      </x:c>
      <x:c r="C27" s="36" t="str">
        <x:v>Yes</x:v>
      </x:c>
      <x:c r="D27" s="36" t="str">
        <x:v>Has qualifying 2023 cereal + fertilizer data, but does not meet the 2000/2023 land/forest endpoint rule</x:v>
      </x:c>
      <x:c r="E27" s="36" t="str">
        <x:v>Included only in fertilizer/yield analysis</x:v>
      </x:c>
      <x:c r="F27" s="33"/>
      <x:c r="G27" s="33"/>
      <x:c r="H27" s="33"/>
      <x:c r="I27" s="33"/>
      <x:c r="J27" s="33"/>
      <x:c r="K27" s="33"/>
    </x:row>
    <x:row r="28">
      <x:c r="A28" s="36" t="str">
        <x:v>South Sudan</x:v>
      </x:c>
      <x:c r="B28" s="36" t="str">
        <x:v>No</x:v>
      </x:c>
      <x:c r="C28" s="36" t="str">
        <x:v>Yes</x:v>
      </x:c>
      <x:c r="D28" s="36" t="str">
        <x:v>Has qualifying 2023 cereal + fertilizer data, but does not meet the 2000/2023 land/forest endpoint rule</x:v>
      </x:c>
      <x:c r="E28" s="36" t="str">
        <x:v>Included only in fertilizer/yield analysis</x:v>
      </x:c>
      <x:c r="F28" s="33"/>
      <x:c r="G28" s="33"/>
      <x:c r="H28" s="33"/>
      <x:c r="I28" s="33"/>
      <x:c r="J28" s="33"/>
      <x:c r="K28" s="33"/>
    </x:row>
    <x:row r="29">
      <x:c r="A29" s="36" t="str">
        <x:v>Sudan</x:v>
      </x:c>
      <x:c r="B29" s="36" t="str">
        <x:v>No</x:v>
      </x:c>
      <x:c r="C29" s="36" t="str">
        <x:v>Yes</x:v>
      </x:c>
      <x:c r="D29" s="36" t="str">
        <x:v>Has qualifying 2023 cereal + fertilizer data, but does not meet the 2000/2023 land/forest endpoint rule</x:v>
      </x:c>
      <x:c r="E29" s="36" t="str">
        <x:v>Included only in fertilizer/yield analysis</x:v>
      </x:c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Data Integration Controls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</x:row>
    <x:row r="2" ht="34" customHeight="1">
      <x:c r="A2" s="34" t="str">
        <x:v>Controls applied when combining FAOSTAT production, land-use, fertilizer and optional trade sources.</x:v>
      </x:c>
      <x:c r="B2" s="34"/>
      <x:c r="C2" s="34"/>
      <x:c r="D2" s="34"/>
      <x:c r="E2" s="34"/>
      <x:c r="F2" s="34"/>
      <x:c r="G2" s="34"/>
      <x:c r="H2" s="34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Control</x:v>
      </x:c>
      <x:c r="B4" s="35" t="str">
        <x:v>Production</x:v>
      </x:c>
      <x:c r="C4" s="35" t="str">
        <x:v>Land use</x:v>
      </x:c>
      <x:c r="D4" s="35" t="str">
        <x:v>Fertilizer</x:v>
      </x:c>
      <x:c r="E4" s="35" t="str">
        <x:v>Trade</x:v>
      </x:c>
      <x:c r="F4" s="35" t="str">
        <x:v>Risk controlled</x:v>
      </x:c>
      <x:c r="G4" s="35" t="str">
        <x:v>Evidence / implementation</x:v>
      </x:c>
      <x:c r="H4" s="35" t="str">
        <x:v>Status</x:v>
      </x:c>
      <x:c r="I4" s="33"/>
      <x:c r="J4" s="33"/>
      <x:c r="K4" s="33"/>
    </x:row>
    <x:row r="5">
      <x:c r="A5" s="36" t="str">
        <x:v>Canonical key</x:v>
      </x:c>
      <x:c r="B5" s="36" t="str">
        <x:v>Country + Crop + Year</x:v>
      </x:c>
      <x:c r="C5" s="36" t="str">
        <x:v>Country + Year</x:v>
      </x:c>
      <x:c r="D5" s="36" t="str">
        <x:v>Country + Year</x:v>
      </x:c>
      <x:c r="E5" s="36" t="str">
        <x:v>Importer + Exporter + Item + Year</x:v>
      </x:c>
      <x:c r="F5" s="36" t="str">
        <x:v>Mismatched grain / duplicate joins</x:v>
      </x:c>
      <x:c r="G5" s="36" t="str">
        <x:v>Master and Cost_Master structures</x:v>
      </x:c>
      <x:c r="H5" s="36" t="str">
        <x:v>PASS</x:v>
      </x:c>
      <x:c r="I5" s="33"/>
      <x:c r="J5" s="33"/>
      <x:c r="K5" s="33"/>
    </x:row>
    <x:row r="6">
      <x:c r="A6" s="36" t="str">
        <x:v>Country universe</x:v>
      </x:c>
      <x:c r="B6" s="36" t="str">
        <x:v>195 cleaned reporting countries</x:v>
      </x:c>
      <x:c r="C6" s="36" t="str">
        <x:v>Restricted to cleaned master whitelist for headline correlation</x:v>
      </x:c>
      <x:c r="D6" s="36" t="str">
        <x:v>Merged by exact cleaned country names; complete cases for final correlation</x:v>
      </x:c>
      <x:c r="E6" s="36" t="str">
        <x:v>Separate supporting analysis</x:v>
      </x:c>
      <x:c r="F6" s="36" t="str">
        <x:v>Aggregates / inconsistent geography</x:v>
      </x:c>
      <x:c r="G6" s="36" t="str">
        <x:v>Aggregate removal + master whitelist</x:v>
      </x:c>
      <x:c r="H6" s="36" t="str">
        <x:v>PASS</x:v>
      </x:c>
      <x:c r="I6" s="33"/>
      <x:c r="J6" s="33"/>
      <x:c r="K6" s="33"/>
    </x:row>
    <x:row r="7">
      <x:c r="A7" s="36" t="str">
        <x:v>Time alignment</x:v>
      </x:c>
      <x:c r="B7" s="36" t="str">
        <x:v>Headline 2000–2023</x:v>
      </x:c>
      <x:c r="C7" s="36" t="str">
        <x:v>Headline endpoints 2000 &amp; 2023</x:v>
      </x:c>
      <x:c r="D7" s="36" t="str">
        <x:v>Final cross-section 2023</x:v>
      </x:c>
      <x:c r="E7" s="36" t="str">
        <x:v>Trade script uses explicit TRADE_YEAR</x:v>
      </x:c>
      <x:c r="F7" s="36" t="str">
        <x:v>Mixed periods</x:v>
      </x:c>
      <x:c r="G7" s="36" t="str">
        <x:v>Methods documented per metric</x:v>
      </x:c>
      <x:c r="H7" s="36" t="str">
        <x:v>PASS</x:v>
      </x:c>
      <x:c r="I7" s="33"/>
      <x:c r="J7" s="33"/>
      <x:c r="K7" s="33"/>
    </x:row>
    <x:row r="8">
      <x:c r="A8" s="36" t="str">
        <x:v>Units</x:v>
      </x:c>
      <x:c r="B8" s="36" t="str">
        <x:v>Production tonnes; area ha; yield kg/ha</x:v>
      </x:c>
      <x:c r="C8" s="36" t="str">
        <x:v>1000 ha</x:v>
      </x:c>
      <x:c r="D8" s="36" t="str">
        <x:v>kg nutrient/ha cropland</x:v>
      </x:c>
      <x:c r="E8" s="36" t="str">
        <x:v>Import quantity tonnes</x:v>
      </x:c>
      <x:c r="F8" s="36" t="str">
        <x:v>Unit mismatch</x:v>
      </x:c>
      <x:c r="G8" s="36" t="str">
        <x:v>Explicit units in masters/data dictionary</x:v>
      </x:c>
      <x:c r="H8" s="36" t="str">
        <x:v>PASS</x:v>
      </x:c>
      <x:c r="I8" s="33"/>
      <x:c r="J8" s="33"/>
      <x:c r="K8" s="33"/>
    </x:row>
    <x:row r="9">
      <x:c r="A9" s="36" t="str">
        <x:v>Missing values</x:v>
      </x:c>
      <x:c r="B9" s="36" t="str">
        <x:v>Blanks retained and DQ-marked</x:v>
      </x:c>
      <x:c r="C9" s="36" t="str">
        <x:v>Complete cases for endpoints</x:v>
      </x:c>
      <x:c r="D9" s="36" t="str">
        <x:v>Complete cases for final correlation</x:v>
      </x:c>
      <x:c r="E9" s="36" t="str">
        <x:v>Script validates required columns/year</x:v>
      </x:c>
      <x:c r="F9" s="36" t="str">
        <x:v>Silent imputation</x:v>
      </x:c>
      <x:c r="G9" s="36" t="str">
        <x:v>No analytical imputation for headline correlations</x:v>
      </x:c>
      <x:c r="H9" s="36" t="str">
        <x:v>PASS</x:v>
      </x:c>
      <x:c r="I9" s="33"/>
      <x:c r="J9" s="33"/>
      <x:c r="K9" s="33"/>
    </x:row>
    <x:row r="10">
      <x:c r="A10" s="36" t="str">
        <x:v>Zeros</x:v>
      </x:c>
      <x:c r="B10" s="36" t="str">
        <x:v>Valid zero distinguished from blank</x:v>
      </x:c>
      <x:c r="C10" s="36" t="str">
        <x:v>No zeros in final cost columns reported by DQ table</x:v>
      </x:c>
      <x:c r="D10" s="36" t="str">
        <x:v>126 fertilizer zero rows visible in Cost_Master DQ</x:v>
      </x:c>
      <x:c r="E10" s="36" t="str">
        <x:v>Positive trade quantities only</x:v>
      </x:c>
      <x:c r="F10" s="36" t="str">
        <x:v>Zero/missing confusion</x:v>
      </x:c>
      <x:c r="G10" s="36" t="str">
        <x:v>DQ markers + filtering rules</x:v>
      </x:c>
      <x:c r="H10" s="36" t="str">
        <x:v>PASS</x:v>
      </x:c>
      <x:c r="I10" s="33"/>
      <x:c r="J10" s="33"/>
      <x:c r="K10" s="33"/>
    </x:row>
    <x:row r="11">
      <x:c r="A11" s="36" t="str">
        <x:v>Source flags</x:v>
      </x:c>
      <x:c r="B11" s="36" t="str">
        <x:v>Production flag retained</x:v>
      </x:c>
      <x:c r="C11" s="36" t="str">
        <x:v>Land flags retained</x:v>
      </x:c>
      <x:c r="D11" s="36" t="str">
        <x:v>N/P/K flags combined and retained</x:v>
      </x:c>
      <x:c r="E11" s="36" t="str">
        <x:v>Source-specific</x:v>
      </x:c>
      <x:c r="F11" s="36" t="str">
        <x:v>Estimated/imputed values hidden</x:v>
      </x:c>
      <x:c r="G11" s="36" t="str">
        <x:v>Flag summary exposed</x:v>
      </x:c>
      <x:c r="H11" s="36" t="str">
        <x:v>PASS</x:v>
      </x:c>
      <x:c r="I11" s="33"/>
      <x:c r="J11" s="33"/>
      <x:c r="K11" s="33"/>
    </x:row>
    <x:row r="12">
      <x:c r="A12" s="36" t="str">
        <x:v>Aggregate control</x:v>
      </x:c>
      <x:c r="B12" s="36" t="str">
        <x:v>38 aggregate areas removed</x:v>
      </x:c>
      <x:c r="C12" s="36" t="str">
        <x:v>Headline uses master whitelist</x:v>
      </x:c>
      <x:c r="D12" s="36" t="str">
        <x:v>Joined Cost_Master contains broader source universe, but analysis filters as needed</x:v>
      </x:c>
      <x:c r="E12" s="36" t="str">
        <x:v>Trade matrix has its own reporter universe</x:v>
      </x:c>
      <x:c r="F12" s="36" t="str">
        <x:v>Double counting</x:v>
      </x:c>
      <x:c r="G12" s="36" t="str">
        <x:v>Explicit filtering at analysis step</x:v>
      </x:c>
      <x:c r="H12" s="36" t="str">
        <x:v>PASS</x:v>
      </x:c>
      <x:c r="I12" s="33"/>
      <x:c r="J12" s="33"/>
      <x:c r="K12" s="33"/>
    </x:row>
    <x:row r="13">
      <x:c r="A13" s="36" t="str">
        <x:v>Method traceability</x:v>
      </x:c>
      <x:c r="B13" s="36" t="str">
        <x:v>Build script</x:v>
      </x:c>
      <x:c r="C13" s="36" t="str">
        <x:v>Cost builder + correlation output</x:v>
      </x:c>
      <x:c r="D13" s="36" t="str">
        <x:v>Cost builder + reconciliation sheet</x:v>
      </x:c>
      <x:c r="E13" s="36" t="str">
        <x:v>Optional trade script</x:v>
      </x:c>
      <x:c r="F13" s="36" t="str">
        <x:v>Unreproducible results</x:v>
      </x:c>
      <x:c r="G13" s="36" t="str">
        <x:v>Canonical scripts + legacy folder</x:v>
      </x:c>
      <x:c r="H13" s="36" t="str">
        <x:v>PASS</x:v>
      </x:c>
      <x:c r="I13" s="33"/>
      <x:c r="J13" s="33"/>
      <x:c r="K13" s="33"/>
    </x:row>
    <x:row r="14">
      <x:c r="A14" s="36" t="str">
        <x:v>Version control</x:v>
      </x:c>
      <x:c r="B14" s="36" t="str">
        <x:v>Master_clean.xlsx</x:v>
      </x:c>
      <x:c r="C14" s="36" t="str">
        <x:v>Cost_Master.xlsx</x:v>
      </x:c>
      <x:c r="D14" s="36" t="str">
        <x:v>Cost_Master.xlsx</x:v>
      </x:c>
      <x:c r="E14" s="36" t="str">
        <x:v>Raw trade file excluded from repo</x:v>
      </x:c>
      <x:c r="F14" s="36" t="str">
        <x:v>Wrong file version</x:v>
      </x:c>
      <x:c r="G14" s="36" t="str">
        <x:v>GitHub manifest + canonical names</x:v>
      </x:c>
      <x:c r="H14" s="36" t="str">
        <x:v>PASS</x:v>
      </x:c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Data Quality Scorecard</x:v>
      </x:c>
      <x:c r="B1" s="32"/>
      <x:c r="C1" s="32"/>
      <x:c r="D1" s="32"/>
      <x:c r="E1" s="32"/>
      <x:c r="F1" s="32"/>
      <x:c r="G1" s="32"/>
      <x:c r="H1" s="32"/>
      <x:c r="I1" s="33"/>
      <x:c r="J1" s="33"/>
      <x:c r="K1" s="33"/>
    </x:row>
    <x:row r="2" ht="34" customHeight="1">
      <x:c r="A2" s="34" t="str">
        <x:v>Project-level DQ indicators carried forward from the production and cost masters.</x:v>
      </x:c>
      <x:c r="B2" s="34"/>
      <x:c r="C2" s="34"/>
      <x:c r="D2" s="34"/>
      <x:c r="E2" s="34"/>
      <x:c r="F2" s="34"/>
      <x:c r="G2" s="34"/>
      <x:c r="H2" s="34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Dataset / field</x:v>
      </x:c>
      <x:c r="B4" s="35" t="str">
        <x:v>Completeness %</x:v>
      </x:c>
      <x:c r="C4" s="35" t="str">
        <x:v>Validity %</x:v>
      </x:c>
      <x:c r="D4" s="35" t="str">
        <x:v>Uniqueness %</x:v>
      </x:c>
      <x:c r="E4" s="35" t="str">
        <x:v>Consistency %</x:v>
      </x:c>
      <x:c r="F4" s="35" t="str">
        <x:v>DQ note</x:v>
      </x:c>
      <x:c r="G4" s="33"/>
      <x:c r="H4" s="33"/>
      <x:c r="I4" s="33"/>
      <x:c r="J4" s="33"/>
      <x:c r="K4" s="33"/>
    </x:row>
    <x:row r="5">
      <x:c r="A5" s="33" t="str">
        <x:v>Production — Area_harvested_ha</x:v>
      </x:c>
      <x:c r="B5" s="44" t="n">
        <x:v>100</x:v>
      </x:c>
      <x:c r="C5" s="44" t="n">
        <x:v>100</x:v>
      </x:c>
      <x:c r="D5" s="44" t="n">
        <x:v>100</x:v>
      </x:c>
      <x:c r="E5" s="44" t="n">
        <x:v>99.1</x:v>
      </x:c>
      <x:c r="F5" s="33" t="str">
        <x:v>11 blanks; 535 valid zeros in master profile</x:v>
      </x:c>
      <x:c r="G5" s="33"/>
      <x:c r="H5" s="33"/>
      <x:c r="I5" s="33"/>
      <x:c r="J5" s="33"/>
      <x:c r="K5" s="33"/>
    </x:row>
    <x:row r="6">
      <x:c r="A6" s="33" t="str">
        <x:v>Production — Yield_kg_per_ha</x:v>
      </x:c>
      <x:c r="B6" s="44" t="n">
        <x:v>98.2</x:v>
      </x:c>
      <x:c r="C6" s="44" t="n">
        <x:v>100</x:v>
      </x:c>
      <x:c r="D6" s="44" t="n">
        <x:v>100</x:v>
      </x:c>
      <x:c r="E6" s="44" t="n">
        <x:v>99.1</x:v>
      </x:c>
      <x:c r="F6" s="33" t="str">
        <x:v>508 blanks; zero/blank distinction retained</x:v>
      </x:c>
      <x:c r="G6" s="33"/>
      <x:c r="H6" s="33"/>
      <x:c r="I6" s="33"/>
      <x:c r="J6" s="33"/>
      <x:c r="K6" s="33"/>
    </x:row>
    <x:row r="7">
      <x:c r="A7" s="33" t="str">
        <x:v>Production — Production_tonnes</x:v>
      </x:c>
      <x:c r="B7" s="44" t="n">
        <x:v>100</x:v>
      </x:c>
      <x:c r="C7" s="44" t="n">
        <x:v>100</x:v>
      </x:c>
      <x:c r="D7" s="44" t="n">
        <x:v>100</x:v>
      </x:c>
      <x:c r="E7" s="44" t="n">
        <x:v>99.1</x:v>
      </x:c>
      <x:c r="F7" s="33" t="str">
        <x:v>4 blanks; 503 valid zeros</x:v>
      </x:c>
      <x:c r="G7" s="33"/>
      <x:c r="H7" s="33"/>
      <x:c r="I7" s="33"/>
      <x:c r="J7" s="33"/>
      <x:c r="K7" s="33"/>
    </x:row>
    <x:row r="8">
      <x:c r="A8" s="33" t="str">
        <x:v>Production dataset overall</x:v>
      </x:c>
      <x:c r="B8" s="44" t="n">
        <x:v>99.6</x:v>
      </x:c>
      <x:c r="C8" s="44"/>
      <x:c r="D8" s="44"/>
      <x:c r="E8" s="44"/>
      <x:c r="F8" s="33" t="str">
        <x:v>Project DMBOK-style composite; not external certification</x:v>
      </x:c>
      <x:c r="G8" s="33"/>
      <x:c r="H8" s="33"/>
      <x:c r="I8" s="33"/>
      <x:c r="J8" s="33"/>
      <x:c r="K8" s="33"/>
    </x:row>
    <x:row r="9">
      <x:c r="A9" s="33" t="str">
        <x:v>Cost — cropland_1000ha</x:v>
      </x:c>
      <x:c r="B9" s="44" t="n">
        <x:v>94.12</x:v>
      </x:c>
      <x:c r="C9" s="44"/>
      <x:c r="D9" s="44"/>
      <x:c r="E9" s="44"/>
      <x:c r="F9" s="33" t="str">
        <x:v>351 blanks across Cost_Master country-year universe</x:v>
      </x:c>
      <x:c r="G9" s="33"/>
      <x:c r="H9" s="33"/>
      <x:c r="I9" s="33"/>
      <x:c r="J9" s="33"/>
      <x:c r="K9" s="33"/>
    </x:row>
    <x:row r="10">
      <x:c r="A10" s="33"/>
      <x:c r="B10" s="44"/>
      <x:c r="C10" s="44"/>
      <x:c r="D10" s="44"/>
      <x:c r="E10" s="44"/>
      <x:c r="F10" s="33"/>
      <x:c r="G10" s="33"/>
      <x:c r="H10" s="33"/>
      <x:c r="I10" s="33"/>
      <x:c r="J10" s="33"/>
      <x:c r="K10" s="33"/>
    </x:row>
    <x:row r="11">
      <x:c r="A11" s="35" t="str">
        <x:v>Cost field</x:v>
      </x:c>
      <x:c r="B11" s="45" t="str">
        <x:v>Blank count</x:v>
      </x:c>
      <x:c r="C11" s="45" t="str">
        <x:v>Blank %</x:v>
      </x:c>
      <x:c r="D11" s="45" t="str">
        <x:v>Zero count</x:v>
      </x:c>
      <x:c r="E11" s="45" t="str">
        <x:v>Zero %</x:v>
      </x:c>
      <x:c r="F11" s="35" t="str">
        <x:v>Completeness %</x:v>
      </x:c>
      <x:c r="G11" s="33"/>
      <x:c r="H11" s="33"/>
      <x:c r="I11" s="33"/>
      <x:c r="J11" s="33"/>
      <x:c r="K11" s="33"/>
    </x:row>
    <x:row r="12">
      <x:c r="A12" s="33" t="str">
        <x:v>cropland_1000ha</x:v>
      </x:c>
      <x:c r="B12" s="44" t="n">
        <x:v>351</x:v>
      </x:c>
      <x:c r="C12" s="44" t="n">
        <x:v>5.88</x:v>
      </x:c>
      <x:c r="D12" s="44" t="n">
        <x:v>0</x:v>
      </x:c>
      <x:c r="E12" s="44" t="n">
        <x:v>0</x:v>
      </x:c>
      <x:c r="F12" s="33" t="n">
        <x:v>94.12</x:v>
      </x:c>
      <x:c r="G12" s="33"/>
      <x:c r="H12" s="33"/>
      <x:c r="I12" s="33"/>
      <x:c r="J12" s="33"/>
      <x:c r="K12" s="33"/>
    </x:row>
    <x:row r="13">
      <x:c r="A13" s="33" t="str">
        <x:v>forest_1000ha</x:v>
      </x:c>
      <x:c r="B13" s="44" t="n">
        <x:v>331</x:v>
      </x:c>
      <x:c r="C13" s="44" t="n">
        <x:v>5.55</x:v>
      </x:c>
      <x:c r="D13" s="44" t="n">
        <x:v>0</x:v>
      </x:c>
      <x:c r="E13" s="44" t="n">
        <x:v>0</x:v>
      </x:c>
      <x:c r="F13" s="33" t="n">
        <x:v>94.45</x:v>
      </x:c>
      <x:c r="G13" s="33"/>
      <x:c r="H13" s="33"/>
      <x:c r="I13" s="33"/>
      <x:c r="J13" s="33"/>
      <x:c r="K13" s="33"/>
    </x:row>
    <x:row r="14">
      <x:c r="A14" s="33" t="str">
        <x:v>fertilizer_kg_per_ha</x:v>
      </x:c>
      <x:c r="B14" s="44" t="n">
        <x:v>1017</x:v>
      </x:c>
      <x:c r="C14" s="44" t="n">
        <x:v>17.04</x:v>
      </x:c>
      <x:c r="D14" s="44" t="n">
        <x:v>126</x:v>
      </x:c>
      <x:c r="E14" s="44" t="n">
        <x:v>2.11</x:v>
      </x:c>
      <x:c r="F14" s="33" t="n">
        <x:v>82.96</x:v>
      </x:c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Source Register</x:v>
      </x:c>
      <x:c r="B1" s="32"/>
      <x:c r="C1" s="32"/>
      <x:c r="D1" s="32"/>
      <x:c r="E1" s="32"/>
      <x:c r="F1" s="32"/>
      <x:c r="G1" s="32"/>
      <x:c r="H1" s="33"/>
      <x:c r="I1" s="33"/>
      <x:c r="J1" s="33"/>
      <x:c r="K1" s="33"/>
    </x:row>
    <x:row r="2" ht="34" customHeight="1">
      <x:c r="A2" s="34" t="str">
        <x:v>Source lineage for every analytical layer. URLs are plain text for auditability.</x:v>
      </x:c>
      <x:c r="B2" s="34"/>
      <x:c r="C2" s="34"/>
      <x:c r="D2" s="34"/>
      <x:c r="E2" s="34"/>
      <x:c r="F2" s="34"/>
      <x:c r="G2" s="34"/>
      <x:c r="H2" s="33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Layer</x:v>
      </x:c>
      <x:c r="B4" s="35" t="str">
        <x:v>Source</x:v>
      </x:c>
      <x:c r="C4" s="35" t="str">
        <x:v>Project file</x:v>
      </x:c>
      <x:c r="D4" s="35" t="str">
        <x:v>Grain</x:v>
      </x:c>
      <x:c r="E4" s="35" t="str">
        <x:v>Use</x:v>
      </x:c>
      <x:c r="F4" s="35" t="str">
        <x:v>Source URL</x:v>
      </x:c>
      <x:c r="G4" s="35" t="str">
        <x:v>DQ / integration note</x:v>
      </x:c>
      <x:c r="H4" s="33"/>
      <x:c r="I4" s="33"/>
      <x:c r="J4" s="33"/>
      <x:c r="K4" s="33"/>
    </x:row>
    <x:row r="5">
      <x:c r="A5" s="36" t="str">
        <x:v>Production</x:v>
      </x:c>
      <x:c r="B5" s="36" t="str">
        <x:v>FAOSTAT Crops and livestock products</x:v>
      </x:c>
      <x:c r="C5" s="36" t="str">
        <x:v>Master_clean.xlsx</x:v>
      </x:c>
      <x:c r="D5" s="36" t="str">
        <x:v>Country × Crop × Year</x:v>
      </x:c>
      <x:c r="E5" s="36" t="str">
        <x:v>Production spine, area, yield, CFI</x:v>
      </x:c>
      <x:c r="F5" s="36" t="str">
        <x:v>https://www.fao.org/faostat/en/#data/QCL</x:v>
      </x:c>
      <x:c r="G5" s="36" t="str">
        <x:v>Raw source rebuilt deterministically; aggregates removed</x:v>
      </x:c>
      <x:c r="H5" s="33"/>
      <x:c r="I5" s="33"/>
      <x:c r="J5" s="33"/>
      <x:c r="K5" s="33"/>
    </x:row>
    <x:row r="6">
      <x:c r="A6" s="36" t="str">
        <x:v>Land</x:v>
      </x:c>
      <x:c r="B6" s="36" t="str">
        <x:v>FAOSTAT Land Use</x:v>
      </x:c>
      <x:c r="C6" s="36" t="str">
        <x:v>Inputs_LandUse_E_All_Data (Reviewed).xlsx / Cost_Master.xlsx</x:v>
      </x:c>
      <x:c r="D6" s="36" t="str">
        <x:v>Country × Year</x:v>
      </x:c>
      <x:c r="E6" s="36" t="str">
        <x:v>Cropland vs forest pressure</x:v>
      </x:c>
      <x:c r="F6" s="36" t="str">
        <x:v>https://www.fao.org/faostat/en/#data/RL</x:v>
      </x:c>
      <x:c r="G6" s="36" t="str">
        <x:v>National data; forest is net national forest area, not primary-forest clearing</x:v>
      </x:c>
      <x:c r="H6" s="33"/>
      <x:c r="I6" s="33"/>
      <x:c r="J6" s="33"/>
      <x:c r="K6" s="33"/>
    </x:row>
    <x:row r="7">
      <x:c r="A7" s="36" t="str">
        <x:v>Fertilizer</x:v>
      </x:c>
      <x:c r="B7" s="36" t="str">
        <x:v>FAOSTAT Fertilizers by Nutrient</x:v>
      </x:c>
      <x:c r="C7" s="36" t="str">
        <x:v>Inputs_FertilizersNutrient_E_All_Data (Reviewed).xlsx / Cost_Master.xlsx</x:v>
      </x:c>
      <x:c r="D7" s="36" t="str">
        <x:v>Country × Year</x:v>
      </x:c>
      <x:c r="E7" s="36" t="str">
        <x:v>N+P2O5+K2O intensity</x:v>
      </x:c>
      <x:c r="F7" s="36" t="str">
        <x:v>https://www.fao.org/faostat/en/#data/RFN</x:v>
      </x:c>
      <x:c r="G7" s="36" t="str">
        <x:v>National input intensity; not crop-specific</x:v>
      </x:c>
      <x:c r="H7" s="33"/>
      <x:c r="I7" s="33"/>
      <x:c r="J7" s="33"/>
      <x:c r="K7" s="33"/>
    </x:row>
    <x:row r="8">
      <x:c r="A8" s="36" t="str">
        <x:v>Trade</x:v>
      </x:c>
      <x:c r="B8" s="36" t="str">
        <x:v>FAOSTAT Detailed Trade Matrix</x:v>
      </x:c>
      <x:c r="C8" s="36" t="str">
        <x:v>Trade_DetailedTradeMatrix_E_All_Data (updated).xlsx</x:v>
      </x:c>
      <x:c r="D8" s="36" t="str">
        <x:v>Reporter × Partner × Item × Year</x:v>
      </x:c>
      <x:c r="E8" s="36" t="str">
        <x:v>Optional importer exposure</x:v>
      </x:c>
      <x:c r="F8" s="36" t="str">
        <x:v>https://www.fao.org/faostat/en/#data/TM</x:v>
      </x:c>
      <x:c r="G8" s="36" t="str">
        <x:v>Raw XLSX ~119 MB; may hit Excel row limit; excluded from GitHub</x:v>
      </x:c>
      <x:c r="H8" s="33"/>
      <x:c r="I8" s="33"/>
      <x:c r="J8" s="33"/>
      <x:c r="K8" s="33"/>
    </x:row>
    <x:row r="9">
      <x:c r="A9" s="36" t="str">
        <x:v>Derived model</x:v>
      </x:c>
      <x:c r="B9" s="36" t="str">
        <x:v>Project Python pipeline</x:v>
      </x:c>
      <x:c r="C9" s="36" t="str">
        <x:v>src/*.py</x:v>
      </x:c>
      <x:c r="D9" s="36" t="str">
        <x:v>Crop / Country / Year derived tables</x:v>
      </x:c>
      <x:c r="E9" s="36" t="str">
        <x:v>Growth decomposition, resilience, CFI, sensitivity</x:v>
      </x:c>
      <x:c r="F9" s="36" t="str">
        <x:v>Repository documentation</x:v>
      </x:c>
      <x:c r="G9" s="36" t="str">
        <x:v>Final canonical scripts separated from legacy scripts</x:v>
      </x:c>
      <x:c r="H9" s="33"/>
      <x:c r="I9" s="33"/>
      <x:c r="J9" s="33"/>
      <x:c r="K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Final Claims — Approved Values</x:v>
      </x:c>
      <x:c r="B1" s="32"/>
      <x:c r="C1" s="32"/>
      <x:c r="D1" s="32"/>
      <x:c r="E1" s="32"/>
      <x:c r="F1" s="32"/>
      <x:c r="G1" s="33"/>
      <x:c r="H1" s="33"/>
      <x:c r="I1" s="33"/>
      <x:c r="J1" s="33"/>
      <x:c r="K1" s="33"/>
    </x:row>
    <x:row r="2" ht="34" customHeight="1">
      <x:c r="A2" s="34" t="str">
        <x:v>Use these values in the presentation, README and dashboard. Older roadmap values are superseded where they conflict.</x:v>
      </x:c>
      <x:c r="B2" s="34"/>
      <x:c r="C2" s="34"/>
      <x:c r="D2" s="34"/>
      <x:c r="E2" s="34"/>
      <x:c r="F2" s="34"/>
      <x:c r="G2" s="33"/>
      <x:c r="H2" s="33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Claim</x:v>
      </x:c>
      <x:c r="B4" s="35" t="str">
        <x:v>Approved value / wording</x:v>
      </x:c>
      <x:c r="C4" s="35" t="str">
        <x:v>Evidence basis</x:v>
      </x:c>
      <x:c r="D4" s="35" t="str">
        <x:v>Caveat</x:v>
      </x:c>
      <x:c r="E4" s="35" t="str">
        <x:v>Presentation status</x:v>
      </x:c>
      <x:c r="F4" s="35" t="str">
        <x:v>Owner</x:v>
      </x:c>
      <x:c r="G4" s="33"/>
      <x:c r="H4" s="33"/>
      <x:c r="I4" s="33"/>
      <x:c r="J4" s="33"/>
      <x:c r="K4" s="33"/>
    </x:row>
    <x:row r="5">
      <x:c r="A5" s="36" t="str">
        <x:v>Top-four positive growth share</x:v>
      </x:c>
      <x:c r="B5" s="36" t="str">
        <x:v>≈63.7% → 'roughly 64%' / 'nearly two-thirds'</x:v>
      </x:c>
      <x:c r="C5" s="36" t="str">
        <x:v>Final Master_clean.xlsx growth decomposition</x:v>
      </x:c>
      <x:c r="D5" s="36" t="str">
        <x:v>Positive country-level growth across all 10 crops</x:v>
      </x:c>
      <x:c r="E5" s="36" t="str">
        <x:v>APPROVED</x:v>
      </x:c>
      <x:c r="F5" s="36" t="str">
        <x:v>Final audit</x:v>
      </x:c>
      <x:c r="G5" s="33"/>
      <x:c r="H5" s="33"/>
      <x:c r="I5" s="33"/>
      <x:c r="J5" s="33"/>
      <x:c r="K5" s="33"/>
    </x:row>
    <x:row r="6">
      <x:c r="A6" s="36" t="str">
        <x:v>Cropland vs forest</x:v>
      </x:c>
      <x:c r="B6" s="36" t="str">
        <x:v>r≈-0.36; n=190; p≈3.49E-07</x:v>
      </x:c>
      <x:c r="C6" s="36" t="str">
        <x:v>2000→2023 cleaned-country endpoint correlation</x:v>
      </x:c>
      <x:c r="D6" s="36" t="str">
        <x:v>Association, not causation</x:v>
      </x:c>
      <x:c r="E6" s="36" t="str">
        <x:v>APPROVED</x:v>
      </x:c>
      <x:c r="F6" s="36" t="str">
        <x:v>Final audit</x:v>
      </x:c>
      <x:c r="G6" s="33"/>
      <x:c r="H6" s="33"/>
      <x:c r="I6" s="33"/>
      <x:c r="J6" s="33"/>
      <x:c r="K6" s="33"/>
    </x:row>
    <x:row r="7">
      <x:c r="A7" s="36" t="str">
        <x:v>Brazil forest share</x:v>
      </x:c>
      <x:c r="B7" s="36" t="str">
        <x:v>Nearly 35% of forest loss in the project dataset</x:v>
      </x:c>
      <x:c r="C7" s="36" t="str">
        <x:v>Final land analysis</x:v>
      </x:c>
      <x:c r="D7" s="36" t="str">
        <x:v>Say 'in our dataset'; national forest measure</x:v>
      </x:c>
      <x:c r="E7" s="36" t="str">
        <x:v>APPROVED</x:v>
      </x:c>
      <x:c r="F7" s="36" t="str">
        <x:v>Final audit</x:v>
      </x:c>
      <x:c r="G7" s="33"/>
      <x:c r="H7" s="33"/>
      <x:c r="I7" s="33"/>
      <x:c r="J7" s="33"/>
      <x:c r="K7" s="33"/>
    </x:row>
    <x:row r="8">
      <x:c r="A8" s="36" t="str">
        <x:v>Fertilizer vs cereal yield</x:v>
      </x:c>
      <x:c r="B8" s="36" t="str">
        <x:v>r≈+0.58; n=173; p≈4.40E-17</x:v>
      </x:c>
      <x:c r="C8" s="36" t="str">
        <x:v>2023 six-cereal national aggregate yield vs fertilizer intensity</x:v>
      </x:c>
      <x:c r="D8" s="36" t="str">
        <x:v>National cross-section; association, not causation</x:v>
      </x:c>
      <x:c r="E8" s="36" t="str">
        <x:v>APPROVED</x:v>
      </x:c>
      <x:c r="F8" s="36" t="str">
        <x:v>Final audit</x:v>
      </x:c>
      <x:c r="G8" s="33"/>
      <x:c r="H8" s="33"/>
      <x:c r="I8" s="33"/>
      <x:c r="J8" s="33"/>
      <x:c r="K8" s="33"/>
    </x:row>
    <x:row r="9">
      <x:c r="A9" s="36" t="str">
        <x:v>Earlier fertilizer result</x:v>
      </x:c>
      <x:c r="B9" s="36" t="str">
        <x:v>+0.51 was reproduced as +0.5034; n=170; p≈2.63E-12 using the older five-crop primary scope</x:v>
      </x:c>
      <x:c r="C9" s="36" t="str">
        <x:v>Reconciliation rerun</x:v>
      </x:c>
      <x:c r="D9" s="36" t="str">
        <x:v>Historical method only; do not mix with final cereal definition</x:v>
      </x:c>
      <x:c r="E9" s="36" t="str">
        <x:v>ARCHIVED</x:v>
      </x:c>
      <x:c r="F9" s="36" t="str">
        <x:v>Final audit</x:v>
      </x:c>
      <x:c r="G9" s="33"/>
      <x:c r="H9" s="33"/>
      <x:c r="I9" s="33"/>
      <x:c r="J9" s="33"/>
      <x:c r="K9" s="33"/>
    </x:row>
    <x:row r="10">
      <x:c r="A10" s="36" t="str">
        <x:v>Resilience</x:v>
      </x:c>
      <x:c r="B10" s="36" t="str">
        <x:v>6 of 10 crops have ratio &lt;1</x:v>
      </x:c>
      <x:c r="C10" s="36" t="str">
        <x:v>2021–2023 recent baseline</x:v>
      </x:c>
      <x:c r="D10" s="36" t="str">
        <x:v>Historical peak headroom is not guaranteed trade supply</x:v>
      </x:c>
      <x:c r="E10" s="36" t="str">
        <x:v>APPROVED</x:v>
      </x:c>
      <x:c r="F10" s="36" t="str">
        <x:v>Final audit</x:v>
      </x:c>
      <x:c r="G10" s="33"/>
      <x:c r="H10" s="33"/>
      <x:c r="I10" s="33"/>
      <x:c r="J10" s="33"/>
      <x:c r="K10" s="33"/>
    </x:row>
    <x:row r="11">
      <x:c r="A11" s="36" t="str">
        <x:v>Rice</x:v>
      </x:c>
      <x:c r="B11" s="36" t="str">
        <x:v>China; exposure≈26.5%; resilience≈0.29; CFI≈56.7</x:v>
      </x:c>
      <x:c r="C11" s="36" t="str">
        <x:v>Final CFI pipeline</x:v>
      </x:c>
      <x:c r="D11" s="36" t="str">
        <x:v>Production-capacity model</x:v>
      </x:c>
      <x:c r="E11" s="36" t="str">
        <x:v>APPROVED</x:v>
      </x:c>
      <x:c r="F11" s="36" t="str">
        <x:v>Final audit</x:v>
      </x:c>
      <x:c r="G11" s="33"/>
      <x:c r="H11" s="33"/>
      <x:c r="I11" s="33"/>
      <x:c r="J11" s="33"/>
      <x:c r="K11" s="33"/>
    </x:row>
    <x:row r="12">
      <x:c r="A12" s="36" t="str">
        <x:v>Soybeans</x:v>
      </x:c>
      <x:c r="B12" s="36" t="str">
        <x:v>Brazil; exposure≈37.1%; resilience≈0.31; CFI≈57.7</x:v>
      </x:c>
      <x:c r="C12" s="36" t="str">
        <x:v>Final CFI pipeline</x:v>
      </x:c>
      <x:c r="D12" s="36" t="str">
        <x:v>Production-capacity model</x:v>
      </x:c>
      <x:c r="E12" s="36" t="str">
        <x:v>APPROVED</x:v>
      </x:c>
      <x:c r="F12" s="36" t="str">
        <x:v>Final audit</x:v>
      </x:c>
      <x:c r="G12" s="33"/>
      <x:c r="H12" s="33"/>
      <x:c r="I12" s="33"/>
      <x:c r="J12" s="33"/>
      <x:c r="K12" s="33"/>
    </x:row>
    <x:row r="13">
      <x:c r="A13" s="36" t="str">
        <x:v>Maize</x:v>
      </x:c>
      <x:c r="B13" s="36" t="str">
        <x:v>United States; resilience≈0.33; CFI≈55.7</x:v>
      </x:c>
      <x:c r="C13" s="36" t="str">
        <x:v>Final CFI pipeline</x:v>
      </x:c>
      <x:c r="D13" s="36" t="str">
        <x:v>Production-capacity model</x:v>
      </x:c>
      <x:c r="E13" s="36" t="str">
        <x:v>APPROVED</x:v>
      </x:c>
      <x:c r="F13" s="36" t="str">
        <x:v>Final audit</x:v>
      </x:c>
      <x:c r="G13" s="33"/>
      <x:c r="H13" s="33"/>
      <x:c r="I13" s="33"/>
      <x:c r="J13" s="33"/>
      <x:c r="K13" s="33"/>
    </x:row>
    <x:row r="14">
      <x:c r="A14" s="36" t="str">
        <x:v>Sugarcane</x:v>
      </x:c>
      <x:c r="B14" s="36" t="str">
        <x:v>Brazil; resilience≈0.36; CFI≈53.0</x:v>
      </x:c>
      <x:c r="C14" s="36" t="str">
        <x:v>Final CFI pipeline</x:v>
      </x:c>
      <x:c r="D14" s="36" t="str">
        <x:v>Production-capacity model</x:v>
      </x:c>
      <x:c r="E14" s="36" t="str">
        <x:v>APPROVED</x:v>
      </x:c>
      <x:c r="F14" s="36" t="str">
        <x:v>Final audit</x:v>
      </x:c>
      <x:c r="G14" s="33"/>
      <x:c r="H14" s="33"/>
      <x:c r="I14" s="33"/>
      <x:c r="J14" s="33"/>
      <x:c r="K14" s="33"/>
    </x:row>
    <x:row r="15">
      <x:c r="A15" s="36" t="str">
        <x:v>35% shock</x:v>
      </x:c>
      <x:c r="B15" s="36" t="str">
        <x:v>Scenario/reality check, not independent validation</x:v>
      </x:c>
      <x:c r="C15" s="36" t="str">
        <x:v>Shock coverage output</x:v>
      </x:c>
      <x:c r="D15" s="36" t="str">
        <x:v>Mechanically related to resilience ratio</x:v>
      </x:c>
      <x:c r="E15" s="36" t="str">
        <x:v>APPROVED WITH CAVEAT</x:v>
      </x:c>
      <x:c r="F15" s="36" t="str">
        <x:v>Final audit</x:v>
      </x:c>
      <x:c r="G15" s="33"/>
      <x:c r="H15" s="33"/>
      <x:c r="I15" s="33"/>
      <x:c r="J15" s="33"/>
      <x:c r="K15" s="33"/>
    </x:row>
    <x:row r="16">
      <x:c r="A16" s="36" t="str">
        <x:v>Trade</x:v>
      </x:c>
      <x:c r="B16" s="36" t="str">
        <x:v>Supporting illustration only; not part of CFI</x:v>
      </x:c>
      <x:c r="C16" s="36" t="str">
        <x:v>Optional trade script</x:v>
      </x:c>
      <x:c r="D16" s="36" t="str">
        <x:v>Producer ≠ exporter; raw file truncation risk</x:v>
      </x:c>
      <x:c r="E16" s="36" t="str">
        <x:v>OPTIONAL</x:v>
      </x:c>
      <x:c r="F16" s="36" t="str">
        <x:v>Final audit</x:v>
      </x:c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F1"/>
    <x:mergeCell ref="A2:F2"/>
  </x:mergeCells>
  <x:conditionalFormatting sqref="E5:E30">
    <x:cfRule type="expression" dxfId="1" priority="1">
      <x:formula>LEFT(E5,8)="APPROVED"</x:formula>
    </x:cfRule>
    <x:cfRule type="expression" dxfId="2" priority="2">
      <x:formula>E5="ARCHIVED"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4" hidden="0" customWidth="1"/>
    <x:col min="5" max="5" width="28" hidden="0" customWidth="1"/>
    <x:col min="6" max="6" width="24" hidden="0" customWidth="1"/>
    <x:col min="7" max="7" width="28" hidden="0" customWidth="1"/>
    <x:col min="8" max="8" width="24" hidden="0" customWidth="1"/>
    <x:col min="9" max="9" width="16" hidden="0" customWidth="1"/>
  </x:cols>
  <x:sheetData>
    <x:row r="1" ht="30" customHeight="1">
      <x:c r="A1" s="32" t="str">
        <x:v>Known Limitations &amp; Residual Risks</x:v>
      </x:c>
      <x:c r="B1" s="32"/>
      <x:c r="C1" s="32"/>
      <x:c r="D1" s="32"/>
      <x:c r="E1" s="32"/>
      <x:c r="F1" s="32"/>
      <x:c r="G1" s="33"/>
      <x:c r="H1" s="33"/>
      <x:c r="I1" s="33"/>
      <x:c r="J1" s="33"/>
      <x:c r="K1" s="33"/>
    </x:row>
    <x:row r="2" ht="34" customHeight="1">
      <x:c r="A2" s="34" t="str">
        <x:v>Items intentionally not 'fixed' because they reflect source grain, model scope or unresolved external constraints.</x:v>
      </x:c>
      <x:c r="B2" s="34"/>
      <x:c r="C2" s="34"/>
      <x:c r="D2" s="34"/>
      <x:c r="E2" s="34"/>
      <x:c r="F2" s="34"/>
      <x:c r="G2" s="33"/>
      <x:c r="H2" s="33"/>
      <x:c r="I2" s="33"/>
      <x:c r="J2" s="33"/>
      <x:c r="K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5" t="str">
        <x:v>ID</x:v>
      </x:c>
      <x:c r="B4" s="35" t="str">
        <x:v>Limitation</x:v>
      </x:c>
      <x:c r="C4" s="35" t="str">
        <x:v>Why it matters</x:v>
      </x:c>
      <x:c r="D4" s="35" t="str">
        <x:v>Mitigation in final project</x:v>
      </x:c>
      <x:c r="E4" s="35" t="str">
        <x:v>Residual risk</x:v>
      </x:c>
      <x:c r="F4" s="35" t="str">
        <x:v>Status</x:v>
      </x:c>
      <x:c r="G4" s="33"/>
      <x:c r="H4" s="33"/>
      <x:c r="I4" s="33"/>
      <x:c r="J4" s="33"/>
      <x:c r="K4" s="33"/>
    </x:row>
    <x:row r="5">
      <x:c r="A5" s="36" t="str">
        <x:v>L01</x:v>
      </x:c>
      <x:c r="B5" s="36" t="str">
        <x:v>Land and fertilizer are national, production is crop-level</x:v>
      </x:c>
      <x:c r="C5" s="36" t="str">
        <x:v>Crop attribution is inferred</x:v>
      </x:c>
      <x:c r="D5" s="36" t="str">
        <x:v>State grain mismatch; use national association language</x:v>
      </x:c>
      <x:c r="E5" s="36" t="str">
        <x:v>Cannot prove crop-specific environmental/input effect</x:v>
      </x:c>
      <x:c r="F5" s="36" t="str">
        <x:v>ACCEPTED</x:v>
      </x:c>
      <x:c r="G5" s="33"/>
      <x:c r="H5" s="33"/>
      <x:c r="I5" s="33"/>
      <x:c r="J5" s="33"/>
      <x:c r="K5" s="33"/>
    </x:row>
    <x:row r="6">
      <x:c r="A6" s="36" t="str">
        <x:v>L02</x:v>
      </x:c>
      <x:c r="B6" s="36" t="str">
        <x:v>Forest land is a net national stock measure</x:v>
      </x:c>
      <x:c r="C6" s="36" t="str">
        <x:v>Afforestation can offset clearing</x:v>
      </x:c>
      <x:c r="D6" s="36" t="str">
        <x:v>Avoid 'deforestation caused by crop X' wording</x:v>
      </x:c>
      <x:c r="E6" s="36" t="str">
        <x:v>Primary-forest loss not isolated</x:v>
      </x:c>
      <x:c r="F6" s="36" t="str">
        <x:v>ACCEPTED</x:v>
      </x:c>
      <x:c r="G6" s="33"/>
      <x:c r="H6" s="33"/>
      <x:c r="I6" s="33"/>
      <x:c r="J6" s="33"/>
      <x:c r="K6" s="33"/>
    </x:row>
    <x:row r="7">
      <x:c r="A7" s="36" t="str">
        <x:v>L03</x:v>
      </x:c>
      <x:c r="B7" s="36" t="str">
        <x:v>Historical peak capacity is not immediately available supply</x:v>
      </x:c>
      <x:c r="C7" s="36" t="str">
        <x:v>Trade, inventories, logistics and policy may constrain response</x:v>
      </x:c>
      <x:c r="D7" s="36" t="str">
        <x:v>Call reinforcement countries capacity leads, not guaranteed suppliers</x:v>
      </x:c>
      <x:c r="E7" s="36" t="str">
        <x:v>Operational replacement could be lower</x:v>
      </x:c>
      <x:c r="F7" s="36" t="str">
        <x:v>ACCEPTED</x:v>
      </x:c>
      <x:c r="G7" s="33"/>
      <x:c r="H7" s="33"/>
      <x:c r="I7" s="33"/>
      <x:c r="J7" s="33"/>
      <x:c r="K7" s="33"/>
    </x:row>
    <x:row r="8">
      <x:c r="A8" s="36" t="str">
        <x:v>L04</x:v>
      </x:c>
      <x:c r="B8" s="36" t="str">
        <x:v>Trade matrix raw XLSX may be truncated</x:v>
      </x:c>
      <x:c r="C8" s="36" t="str">
        <x:v>Incomplete reporter universe can bias importer exposure</x:v>
      </x:c>
      <x:c r="D8" s="36" t="str">
        <x:v>Exclude raw XLSX from GitHub; require normalized/bulk or pre-filtered source</x:v>
      </x:c>
      <x:c r="E8" s="36" t="str">
        <x:v>Trade extension not fully productionized</x:v>
      </x:c>
      <x:c r="F8" s="36" t="str">
        <x:v>OPEN EXTENSION</x:v>
      </x:c>
      <x:c r="G8" s="33"/>
      <x:c r="H8" s="33"/>
      <x:c r="I8" s="33"/>
      <x:c r="J8" s="33"/>
      <x:c r="K8" s="33"/>
    </x:row>
    <x:row r="9">
      <x:c r="A9" s="36" t="str">
        <x:v>L05</x:v>
      </x:c>
      <x:c r="B9" s="36" t="str">
        <x:v>CFI thresholds/ceilings are modeling choices</x:v>
      </x:c>
      <x:c r="C9" s="36" t="str">
        <x:v>No external calibration dataset</x:v>
      </x:c>
      <x:c r="D9" s="36" t="str">
        <x:v>Sensitivity analysis across 180 combinations</x:v>
      </x:c>
      <x:c r="E9" s="36" t="str">
        <x:v>Index is decision-support, not a validated forecast</x:v>
      </x:c>
      <x:c r="F9" s="36" t="str">
        <x:v>ACCEPTED</x:v>
      </x:c>
      <x:c r="G9" s="33"/>
      <x:c r="H9" s="33"/>
      <x:c r="I9" s="33"/>
      <x:c r="J9" s="33"/>
      <x:c r="K9" s="33"/>
    </x:row>
    <x:row r="10">
      <x:c r="A10" s="36" t="str">
        <x:v>L06</x:v>
      </x:c>
      <x:c r="B10" s="36" t="str">
        <x:v>35% shock is not independent validation</x:v>
      </x:c>
      <x:c r="C10" s="36" t="str">
        <x:v>Uses same backfill capacity</x:v>
      </x:c>
      <x:c r="D10" s="36" t="str">
        <x:v>Label scenario/reality check only</x:v>
      </x:c>
      <x:c r="E10" s="36" t="str">
        <x:v>No out-of-sample validation</x:v>
      </x:c>
      <x:c r="F10" s="36" t="str">
        <x:v>ACCEPTED</x:v>
      </x:c>
      <x:c r="G10" s="33"/>
      <x:c r="H10" s="33"/>
      <x:c r="I10" s="33"/>
      <x:c r="J10" s="33"/>
      <x:c r="K10" s="33"/>
    </x:row>
    <x:row r="11">
      <x:c r="A11" s="36" t="str">
        <x:v>L07</x:v>
      </x:c>
      <x:c r="B11" s="36" t="str">
        <x:v>Water excluded at national level</x:v>
      </x:c>
      <x:c r="C11" s="36" t="str">
        <x:v>National metric hides basin stress</x:v>
      </x:c>
      <x:c r="D11" s="36" t="str">
        <x:v>Document exclusion and recommend basin-level extension</x:v>
      </x:c>
      <x:c r="E11" s="36" t="str">
        <x:v>Water risk omitted</x:v>
      </x:c>
      <x:c r="F11" s="36" t="str">
        <x:v>OPEN EXTENSION</x:v>
      </x:c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</x:sheetData>
  <x:mergeCells>
    <x:mergeCell ref="A1:F1"/>
    <x:mergeCell ref="A2:F2"/>
  </x:mergeCells>
  <x:pageMargins left="0.7" right="0.7" top="0.75" bottom="0.75" header="0.3" footer="0.3"/>
</x:worksheet>
</file>