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it works" sheetId="1" state="visible" r:id="rId3"/>
    <sheet name="Correlation (190)" sheetId="2" state="visible" r:id="rId4"/>
    <sheet name="Brazil shar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<sst xmlns="http://schemas.openxmlformats.org/spreadsheetml/2006/main" count="434" uniqueCount="243">
  <si>
    <t xml:space="preserve">How we ran the correlation — cropland expansion vs forest loss</t>
  </si>
  <si>
    <t xml:space="preserve">What Pearson's r measures</t>
  </si>
  <si>
    <t xml:space="preserve">Pearson's r is a single number between -1 and +1 that says how tightly two quantities move together.</t>
  </si>
  <si>
    <t xml:space="preserve">   +1  = perfect lockstep (when one goes up, the other goes up by a fixed proportion)</t>
  </si>
  <si>
    <t xml:space="preserve">    0  = no relationship at all</t>
  </si>
  <si>
    <t xml:space="preserve">   -1  = perfect opposite lockstep (when one goes up, the other goes down)</t>
  </si>
  <si>
    <t xml:space="preserve">A negative r between cropland change and forest change means: the countries that added the most cropland tended to lose the most forest.</t>
  </si>
  <si>
    <t xml:space="preserve">The formula</t>
  </si>
  <si>
    <t xml:space="preserve">r = Σ (x - x̄)(y - ȳ)  ÷  √[ Σ(x - x̄)² · Σ(y - ȳ)² ]</t>
  </si>
  <si>
    <t xml:space="preserve">where x = each country's change in cropland, y = its change in forest, and x̄, ȳ are the averages across all countries. The 'Correlation (190)' tab builds every term of this formula in its own column, so the result can be checked by hand.</t>
  </si>
  <si>
    <t xml:space="preserve">Exactly what we correlated</t>
  </si>
  <si>
    <t xml:space="preserve">   • x  =  change in cropland (1000 ha), 2000 → 2023</t>
  </si>
  <si>
    <t xml:space="preserve">   • y  =  change in forest land (1000 ha), 2000 → 2023</t>
  </si>
  <si>
    <t xml:space="preserve">   • countries = the 190 sovereign countries that report both cropland and forest at both years (FAOSTAT regional aggregates and territories excluded)</t>
  </si>
  <si>
    <t xml:space="preserve">   • source = FAOSTAT Land Use (RL), via Cost_Master.xlsx</t>
  </si>
  <si>
    <t xml:space="preserve">The result</t>
  </si>
  <si>
    <t xml:space="preserve">   Pearson's r  =  -0.36     (n = 190 countries,  p ≈ 3e-07)</t>
  </si>
  <si>
    <t xml:space="preserve">   More cropland means less forest — a clear, statistically strong negative link, though not a perfect one.</t>
  </si>
  <si>
    <t xml:space="preserve">Note on strength</t>
  </si>
  <si>
    <t xml:space="preserve">-0.36 is a real, significant relationship, not a coincidence (p is far below 0.05). It is moderate, not perfect: forest is cleared for many reasons besides cropland (pasture, logging, fire), and some countries expand cropland while forest still grows. Those exceptions are visible as points on the wrong side of the scatter.</t>
  </si>
  <si>
    <t xml:space="preserve">Pearson's r  ·  cropland change vs forest change  ·  2000–2023  ·  190 countries</t>
  </si>
  <si>
    <t xml:space="preserve">RESULT — recomputed live by this sheet</t>
  </si>
  <si>
    <t xml:space="preserve">Pearson's r  (=CORREL)</t>
  </si>
  <si>
    <t xml:space="preserve">Pearson's r  (=PEARSON, identical)</t>
  </si>
  <si>
    <t xml:space="preserve">Pearson's r  (from the sums, by hand)</t>
  </si>
  <si>
    <t xml:space="preserve">Countries (n)</t>
  </si>
  <si>
    <t xml:space="preserve">t-statistic</t>
  </si>
  <si>
    <t xml:space="preserve">p-value (two-tailed)</t>
  </si>
  <si>
    <t xml:space="preserve">Scale reminder</t>
  </si>
  <si>
    <t xml:space="preserve">+1 lockstep · 0 none · -1 opposite</t>
  </si>
  <si>
    <t xml:space="preserve">mean Δcropland  (x̄)</t>
  </si>
  <si>
    <t xml:space="preserve">mean Δforest  (ȳ)</t>
  </si>
  <si>
    <t xml:space="preserve">Σ(x−x̄)²   /   Σ(y−ȳ)²   /   Σ(x−x̄)(y−ȳ)</t>
  </si>
  <si>
    <t xml:space="preserve">Country</t>
  </si>
  <si>
    <t xml:space="preserve">Cropland 2000
(1000 ha)</t>
  </si>
  <si>
    <t xml:space="preserve">Cropland 2023
(1000 ha)</t>
  </si>
  <si>
    <t xml:space="preserve">Δ cropland  x
(1000 ha)</t>
  </si>
  <si>
    <t xml:space="preserve">Forest 2000
(1000 ha)</t>
  </si>
  <si>
    <t xml:space="preserve">Forest 2023
(1000 ha)</t>
  </si>
  <si>
    <t xml:space="preserve">Δ forest  y
(1000 ha)</t>
  </si>
  <si>
    <t xml:space="preserve">x − x̄</t>
  </si>
  <si>
    <t xml:space="preserve">y − ȳ</t>
  </si>
  <si>
    <t xml:space="preserve">(x − x̄)²</t>
  </si>
  <si>
    <t xml:space="preserve">(y − ȳ)²</t>
  </si>
  <si>
    <t xml:space="preserve">(x − x̄)(y − ȳ)</t>
  </si>
  <si>
    <t xml:space="preserve">Afghanistan</t>
  </si>
  <si>
    <t xml:space="preserve">Albania</t>
  </si>
  <si>
    <t xml:space="preserve">Algeria</t>
  </si>
  <si>
    <t xml:space="preserve">Angola</t>
  </si>
  <si>
    <t xml:space="preserve">Antigua and Barbuda</t>
  </si>
  <si>
    <t xml:space="preserve">Argentina</t>
  </si>
  <si>
    <t xml:space="preserve">Armenia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</si>
  <si>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</si>
  <si>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</si>
  <si>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</si>
  <si>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</si>
  <si>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</si>
  <si>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</si>
  <si>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</si>
  <si>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</si>
  <si>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</si>
  <si>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</si>
  <si>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</si>
  <si>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Bhutan</t>
  </si>
  <si>
    <t xml:space="preserve">Bolivia (Plurinational State of)</t>
  </si>
  <si>
    <t xml:space="preserve">Bosnia and Herzegovina</t>
  </si>
  <si>
    <t xml:space="preserve">Botswana</t>
  </si>
  <si>
    <t xml:space="preserve">Brazil</t>
  </si>
  <si>
    <t xml:space="preserve">Brunei Darussalam</t>
  </si>
  <si>
    <t xml:space="preserve">Bulgaria</t>
  </si>
  <si>
    <t xml:space="preserve">Burkina Faso</t>
  </si>
  <si>
    <t xml:space="preserve">Burundi</t>
  </si>
  <si>
    <t xml:space="preserve">Cabo Verde</t>
  </si>
  <si>
    <t xml:space="preserve">Cambodia</t>
  </si>
  <si>
    <t xml:space="preserve">Cameroon</t>
  </si>
  <si>
    <t xml:space="preserve">Canada</t>
  </si>
  <si>
    <t xml:space="preserve">Central African Republic</t>
  </si>
  <si>
    <t xml:space="preserve">Chad</t>
  </si>
  <si>
    <t xml:space="preserve">Chile</t>
  </si>
  <si>
    <t xml:space="preserve">China, mainland</t>
  </si>
  <si>
    <t xml:space="preserve">Colombia</t>
  </si>
  <si>
    <t xml:space="preserve">Comoros</t>
  </si>
  <si>
    <t xml:space="preserve">Congo</t>
  </si>
  <si>
    <t xml:space="preserve">Cook Islands</t>
  </si>
  <si>
    <t xml:space="preserve">Costa Rica</t>
  </si>
  <si>
    <t xml:space="preserve">Croatia</t>
  </si>
  <si>
    <t xml:space="preserve">Cuba</t>
  </si>
  <si>
    <t xml:space="preserve">Cyprus</t>
  </si>
  <si>
    <t xml:space="preserve">Czechia</t>
  </si>
  <si>
    <t xml:space="preserve">Côte d'Ivoire</t>
  </si>
  <si>
    <t xml:space="preserve">Democratic People's Republic of Korea</t>
  </si>
  <si>
    <t xml:space="preserve">Democratic Republic of the Congo</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</si>
  <si>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</si>
  <si>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</si>
  <si>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</si>
  <si>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</si>
  <si>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</si>
  <si>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</si>
  <si>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</si>
  <si>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</si>
  <si>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</si>
  <si>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</si>
  <si>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</si>
  <si>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</si>
  <si>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Faroe Islands</t>
  </si>
  <si>
    <t xml:space="preserve">Fiji</t>
  </si>
  <si>
    <t xml:space="preserve">Finland</t>
  </si>
  <si>
    <t xml:space="preserve">France</t>
  </si>
  <si>
    <t xml:space="preserve">French Guiana</t>
  </si>
  <si>
    <t xml:space="preserve">French Polynesia</t>
  </si>
  <si>
    <t xml:space="preserve">Gabon</t>
  </si>
  <si>
    <t xml:space="preserve">Gambia</t>
  </si>
  <si>
    <t xml:space="preserve">Georgia</t>
  </si>
  <si>
    <t xml:space="preserve">Germany</t>
  </si>
  <si>
    <t xml:space="preserve">Ghana</t>
  </si>
  <si>
    <t xml:space="preserve">Greece</t>
  </si>
  <si>
    <t xml:space="preserve">Grenada</t>
  </si>
  <si>
    <t xml:space="preserve">Guadeloupe</t>
  </si>
  <si>
    <t xml:space="preserve">Guatemala</t>
  </si>
  <si>
    <t xml:space="preserve">Guinea</t>
  </si>
  <si>
    <t xml:space="preserve">Guinea-Bissau</t>
  </si>
  <si>
    <t xml:space="preserve">Guyana</t>
  </si>
  <si>
    <t xml:space="preserve">Haiti</t>
  </si>
  <si>
    <t xml:space="preserve">Honduras</t>
  </si>
  <si>
    <t xml:space="preserve">Hungary</t>
  </si>
  <si>
    <t xml:space="preserve">Iceland</t>
  </si>
  <si>
    <t xml:space="preserve">India</t>
  </si>
  <si>
    <t xml:space="preserve">Indonesia</t>
  </si>
  <si>
    <t xml:space="preserve">Iran (Islamic Republic of)</t>
  </si>
  <si>
    <t xml:space="preserve">Iraq</t>
  </si>
  <si>
    <t xml:space="preserve">Ireland</t>
  </si>
  <si>
    <t xml:space="preserve">Israel</t>
  </si>
  <si>
    <t xml:space="preserve">Italy</t>
  </si>
  <si>
    <t xml:space="preserve">Jamaica</t>
  </si>
  <si>
    <t xml:space="preserve">Japan</t>
  </si>
  <si>
    <t xml:space="preserve">Jordan</t>
  </si>
  <si>
    <t xml:space="preserve">Kazakhstan</t>
  </si>
  <si>
    <t xml:space="preserve">Kenya</t>
  </si>
  <si>
    <t xml:space="preserve">Kuwait</t>
  </si>
  <si>
    <t xml:space="preserve">Kyrgyzstan</t>
  </si>
  <si>
    <t xml:space="preserve">Lao People's Democratic Republic</t>
  </si>
  <si>
    <t xml:space="preserve">Latvia</t>
  </si>
  <si>
    <t xml:space="preserve">Lebanon</t>
  </si>
  <si>
    <t xml:space="preserve">Lesotho</t>
  </si>
  <si>
    <t xml:space="preserve">Liberia</t>
  </si>
  <si>
    <t xml:space="preserve">Libya</t>
  </si>
  <si>
    <t xml:space="preserve">Lithuania</t>
  </si>
  <si>
    <t xml:space="preserve">Luxembourg</t>
  </si>
  <si>
    <t xml:space="preserve">Madagascar</t>
  </si>
  <si>
    <t xml:space="preserve">Malawi</t>
  </si>
  <si>
    <t xml:space="preserve">Malaysia</t>
  </si>
  <si>
    <t xml:space="preserve">Maldives</t>
  </si>
  <si>
    <t xml:space="preserve">Mali</t>
  </si>
  <si>
    <t xml:space="preserve">Malta</t>
  </si>
  <si>
    <t xml:space="preserve">Martinique</t>
  </si>
  <si>
    <t xml:space="preserve">Mauritania</t>
  </si>
  <si>
    <t xml:space="preserve">Mauritius</t>
  </si>
  <si>
    <t xml:space="preserve">Mexico</t>
  </si>
  <si>
    <t xml:space="preserve">Micronesia (Federated States of)</t>
  </si>
  <si>
    <t xml:space="preserve">Mongolia</t>
  </si>
  <si>
    <t xml:space="preserve">Morocco</t>
  </si>
  <si>
    <t xml:space="preserve">Mozambique</t>
  </si>
  <si>
    <t xml:space="preserve">Myanmar</t>
  </si>
  <si>
    <t xml:space="preserve">Namibia</t>
  </si>
  <si>
    <t xml:space="preserve">Nepal</t>
  </si>
  <si>
    <t xml:space="preserve">Netherlands (Kingdom of the)</t>
  </si>
  <si>
    <t xml:space="preserve">New Caledonia</t>
  </si>
  <si>
    <t xml:space="preserve">New Zealand</t>
  </si>
  <si>
    <t xml:space="preserve">Niger</t>
  </si>
  <si>
    <t xml:space="preserve">Nigeria</t>
  </si>
  <si>
    <t xml:space="preserve">Niue</t>
  </si>
  <si>
    <t xml:space="preserve">North Macedonia</t>
  </si>
  <si>
    <t xml:space="preserve">Norway</t>
  </si>
  <si>
    <t xml:space="preserve">Oman</t>
  </si>
  <si>
    <t xml:space="preserve">Pakistan</t>
  </si>
  <si>
    <t xml:space="preserve">Palestine</t>
  </si>
  <si>
    <t xml:space="preserve">Panama</t>
  </si>
  <si>
    <t xml:space="preserve">Papua New Guinea</t>
  </si>
  <si>
    <t xml:space="preserve">Paraguay</t>
  </si>
  <si>
    <t xml:space="preserve">Peru</t>
  </si>
  <si>
    <t xml:space="preserve">Philippines</t>
  </si>
  <si>
    <t xml:space="preserve">Poland</t>
  </si>
  <si>
    <t xml:space="preserve">Portugal</t>
  </si>
  <si>
    <t xml:space="preserve">Puerto Rico</t>
  </si>
  <si>
    <t xml:space="preserve">Qatar</t>
  </si>
  <si>
    <t xml:space="preserve">Republic of Korea</t>
  </si>
  <si>
    <t xml:space="preserve">Republic of Moldova</t>
  </si>
  <si>
    <t xml:space="preserve">Romania</t>
  </si>
  <si>
    <t xml:space="preserve">Russian Federation</t>
  </si>
  <si>
    <t xml:space="preserve">Rwanda</t>
  </si>
  <si>
    <t xml:space="preserve">Réunion</t>
  </si>
  <si>
    <t xml:space="preserve">Saint Kitts and Nevis</t>
  </si>
  <si>
    <t xml:space="preserve">Saint Lucia</t>
  </si>
  <si>
    <t xml:space="preserve">Saint Vincent and the Grenadines</t>
  </si>
  <si>
    <t xml:space="preserve">Samoa</t>
  </si>
  <si>
    <t xml:space="preserve">Sao Tome and Principe</t>
  </si>
  <si>
    <t xml:space="preserve">Saudi Arabia</t>
  </si>
  <si>
    <t xml:space="preserve">Senegal</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</si>
  <si>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</si>
  <si>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</si>
  <si>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</si>
  <si>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</si>
  <si>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</si>
  <si>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</si>
  <si>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</si>
  <si>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</si>
  <si>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</si>
  <si>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</si>
  <si>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Suriname</t>
  </si>
  <si>
    <t xml:space="preserve">Sweden</t>
  </si>
  <si>
    <t xml:space="preserve">Switzerland</t>
  </si>
  <si>
    <t xml:space="preserve">Syrian Arab Republic</t>
  </si>
  <si>
    <t xml:space="preserve">Tajikistan</t>
  </si>
  <si>
    <t xml:space="preserve">Thailand</t>
  </si>
  <si>
    <t xml:space="preserve">Timor-Leste</t>
  </si>
  <si>
    <t xml:space="preserve">Togo</t>
  </si>
  <si>
    <t xml:space="preserve">Tonga</t>
  </si>
  <si>
    <t xml:space="preserve">Trinidad and Tobago</t>
  </si>
  <si>
    <t xml:space="preserve">Tunisia</t>
  </si>
  <si>
    <t xml:space="preserve">Turkmenistan</t>
  </si>
  <si>
    <t xml:space="preserve">Türkiye</t>
  </si>
  <si>
    <t xml:space="preserve">Uganda</t>
  </si>
  <si>
    <t xml:space="preserve">Ukraine</t>
  </si>
  <si>
    <t xml:space="preserve">United Arab Emirates</t>
  </si>
  <si>
    <t xml:space="preserve">United Kingdom of Great Britain and Northern Ireland</t>
  </si>
  <si>
    <t xml:space="preserve">United Republic of Tanzania</t>
  </si>
  <si>
    <t xml:space="preserve">United States of America</t>
  </si>
  <si>
    <t xml:space="preserve">Uruguay</t>
  </si>
  <si>
    <t xml:space="preserve">Uzbekistan</t>
  </si>
  <si>
    <t xml:space="preserve">Vanuatu</t>
  </si>
  <si>
    <t xml:space="preserve">Venezuela (Bolivarian Republic of)</t>
  </si>
  <si>
    <t xml:space="preserve">Viet Nam</t>
  </si>
  <si>
    <t xml:space="preserve">Yemen</t>
  </si>
  <si>
    <t xml:space="preserve">Zambia</t>
  </si>
  <si>
    <t xml:space="preserve">Zimbabwe</t>
  </si>
  <si>
    <t xml:space="preserve">Brazil's share of global forest loss, 2000–2023</t>
  </si>
  <si>
    <t xml:space="preserve">Global gross forest loss (Σ of all countries that lost forest, 1000 ha)</t>
  </si>
  <si>
    <t xml:space="preserve">Brazil forest loss  →  share of the global total</t>
  </si>
  <si>
    <t xml:space="preserve">Rank</t>
  </si>
  <si>
    <t xml:space="preserve">Δ forest
(1000 ha)</t>
  </si>
  <si>
    <t xml:space="preserve">Forest lost
(1000 ha)</t>
  </si>
  <si>
    <t xml:space="preserve">Share of global loss</t>
  </si>
  <si>
    <t xml:space="preserve">▸ 'Forest lost' counts only countries whose forest shrank (gains excluded), so the shares are Brazil's slice of the world's gross forest loss. Source: FAOSTAT Land Use (RL).</t>
  </si>
</sst>
</file>

<file path=xl/styles.xml><?xml version="1.0" encoding="utf-8"?>
<styleSheet xmlns="http://schemas.openxmlformats.org/spreadsheetml/2006/main">
  <numFmts count="8">
    <numFmt numFmtId="164" formatCode="General"/>
    <numFmt numFmtId="165" formatCode="0.000"/>
    <numFmt numFmtId="166" formatCode="0"/>
    <numFmt numFmtId="167" formatCode="0.00"/>
    <numFmt numFmtId="168" formatCode="0.00E+00"/>
    <numFmt numFmtId="169" formatCode="#,##0.0"/>
    <numFmt numFmtId="170" formatCode="#,##0"/>
    <numFmt numFmtId="171" formatCode="0.0%"/>
  </numFmts>
  <fonts count="23">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10"/>
      <color rgb="FF333333"/>
      <name val="Arial"/>
      <family val="0"/>
      <charset val="1"/>
    </font>
    <font>
      <b val="true"/>
      <sz val="11"/>
      <color rgb="FF1F3A5F"/>
      <name val="Arial"/>
      <family val="0"/>
      <charset val="1"/>
    </font>
    <font>
      <b val="true"/>
      <sz val="11"/>
      <color rgb="FF000000"/>
      <name val="Consolas"/>
      <family val="0"/>
      <charset val="1"/>
    </font>
    <font>
      <b val="true"/>
      <sz val="13"/>
      <color rgb="FFC00000"/>
      <name val="Arial"/>
      <family val="0"/>
      <charset val="1"/>
    </font>
    <font>
      <b val="true"/>
      <sz val="13"/>
      <color rgb="FFFFFFFF"/>
      <name val="Arial"/>
      <family val="0"/>
      <charset val="1"/>
    </font>
    <font>
      <b val="true"/>
      <sz val="11"/>
      <color rgb="FFFFFFFF"/>
      <name val="Arial"/>
      <family val="0"/>
      <charset val="1"/>
    </font>
    <font>
      <b val="true"/>
      <sz val="14"/>
      <color rgb="FFC00000"/>
      <name val="Arial"/>
      <family val="0"/>
      <charset val="1"/>
    </font>
    <font>
      <sz val="10"/>
      <color rgb="FF000000"/>
      <name val="Arial"/>
      <family val="0"/>
      <charset val="1"/>
    </font>
    <font>
      <sz val="9"/>
      <color rgb="FF555555"/>
      <name val="Arial"/>
      <family val="0"/>
      <charset val="1"/>
    </font>
    <font>
      <b val="true"/>
      <sz val="10"/>
      <color rgb="FFFFFFFF"/>
      <name val="Arial"/>
      <family val="0"/>
      <charset val="1"/>
    </font>
    <font>
      <sz val="9"/>
      <name val="Arial"/>
      <family val="0"/>
      <charset val="1"/>
    </font>
    <font>
      <sz val="9"/>
      <color theme="1"/>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0"/>
      <name val="Arial"/>
      <family val="0"/>
      <charset val="1"/>
    </font>
    <font>
      <b val="true"/>
      <sz val="11"/>
      <name val="Arial"/>
      <family val="0"/>
      <charset val="1"/>
    </font>
    <font>
      <i val="true"/>
      <sz val="8"/>
      <color rgb="FF7F7F7F"/>
      <name val="Arial"/>
      <family val="0"/>
      <charset val="1"/>
    </font>
  </fonts>
  <fills count="6">
    <fill>
      <patternFill patternType="none"/>
    </fill>
    <fill>
      <patternFill patternType="gray125"/>
    </fill>
    <fill>
      <patternFill patternType="solid">
        <fgColor rgb="FF2E5A87"/>
        <bgColor rgb="FF555555"/>
      </patternFill>
    </fill>
    <fill>
      <patternFill patternType="solid">
        <fgColor rgb="FF4A7BA6"/>
        <bgColor rgb="FF2E5A87"/>
      </patternFill>
    </fill>
    <fill>
      <patternFill patternType="solid">
        <fgColor rgb="FFFCE9C8"/>
        <bgColor rgb="FFFFF2CC"/>
      </patternFill>
    </fill>
    <fill>
      <patternFill patternType="solid">
        <fgColor rgb="FFFFF2CC"/>
        <bgColor rgb="FFFCE9C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0" fillId="3" borderId="0" xfId="0" applyFont="true" applyBorder="true" applyAlignment="true" applyProtection="false">
      <alignment horizontal="general" vertical="center" textRotation="0" wrapText="false" indent="1" shrinkToFit="false"/>
      <protection locked="true" hidden="false"/>
    </xf>
    <xf numFmtId="164" fontId="6" fillId="4" borderId="0" xfId="0" applyFont="true" applyBorder="false" applyAlignment="true" applyProtection="false">
      <alignment horizontal="general" vertical="center" textRotation="0" wrapText="false" indent="1"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1"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7" fontId="12" fillId="0" borderId="0" xfId="0" applyFont="true" applyBorder="false" applyAlignment="true" applyProtection="false">
      <alignment horizontal="center" vertical="center" textRotation="0" wrapText="false" indent="0" shrinkToFit="false"/>
      <protection locked="true" hidden="false"/>
    </xf>
    <xf numFmtId="168"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9" fontId="16" fillId="0" borderId="1" xfId="0" applyFont="true" applyBorder="true" applyAlignment="false" applyProtection="false">
      <alignment horizontal="general" vertical="bottom" textRotation="0" wrapText="false" indent="0" shrinkToFit="false"/>
      <protection locked="true" hidden="false"/>
    </xf>
    <xf numFmtId="170" fontId="16" fillId="0" borderId="1" xfId="0" applyFont="true" applyBorder="true" applyAlignment="false" applyProtection="false">
      <alignment horizontal="general" vertical="bottom" textRotation="0" wrapText="fals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9" fontId="16" fillId="5" borderId="1" xfId="0" applyFont="true" applyBorder="true" applyAlignment="false" applyProtection="false">
      <alignment horizontal="general" vertical="bottom" textRotation="0" wrapText="false" indent="0" shrinkToFit="false"/>
      <protection locked="true" hidden="false"/>
    </xf>
    <xf numFmtId="170" fontId="16"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21" fillId="0" borderId="0" xfId="0" applyFont="true" applyBorder="false" applyAlignment="false" applyProtection="false">
      <alignment horizontal="general" vertical="bottom" textRotation="0" wrapText="false" indent="0" shrinkToFit="false"/>
      <protection locked="true" hidden="false"/>
    </xf>
    <xf numFmtId="171" fontId="11" fillId="4" borderId="0" xfId="0" applyFont="true" applyBorder="false" applyAlignment="false" applyProtection="false">
      <alignment horizontal="general" vertical="bottom" textRotation="0" wrapText="false" indent="0" shrinkToFit="false"/>
      <protection locked="true" hidden="false"/>
    </xf>
    <xf numFmtId="166" fontId="16" fillId="5"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71" fontId="16" fillId="5"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1" fontId="16" fillId="0"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9C8"/>
      <rgbColor rgb="FF99CCFF"/>
      <rgbColor rgb="FFFF99CC"/>
      <rgbColor rgb="FFCC99FF"/>
      <rgbColor rgb="FFFFCC99"/>
      <rgbColor rgb="FF3366FF"/>
      <rgbColor rgb="FF33CCCC"/>
      <rgbColor rgb="FF99CC00"/>
      <rgbColor rgb="FFFFCC00"/>
      <rgbColor rgb="FFFF9900"/>
      <rgbColor rgb="FFFF6600"/>
      <rgbColor rgb="FF4A7BA6"/>
      <rgbColor rgb="FF878787"/>
      <rgbColor rgb="FF1F3A5F"/>
      <rgbColor rgb="FF339966"/>
      <rgbColor rgb="FF003300"/>
      <rgbColor rgb="FF555555"/>
      <rgbColor rgb="FF993300"/>
      <rgbColor rgb="FF993366"/>
      <rgbColor rgb="FF2E5A8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Each dot is a country: Δcropland (x) vs Δforest (y)</a:t>
            </a:r>
          </a:p>
        </c:rich>
      </c:tx>
      <c:overlay val="0"/>
      <c:spPr>
        <a:noFill/>
        <a:ln w="0">
          <a:noFill/>
        </a:ln>
      </c:spPr>
    </c:title>
    <c:autoTitleDeleted val="0"/>
    <c:plotArea>
      <c:scatterChart>
        <c:scatterStyle val="lineMarker"/>
        <c:varyColors val="0"/>
        <c:ser>
          <c:idx val="0"/>
          <c:order val="0"/>
          <c:tx>
            <c:strRef>
              <c:f>"countries"</c:f>
              <c:strCache>
                <c:ptCount val="1"/>
                <c:pt idx="0">
                  <c:v>countries</c:v>
                </c:pt>
              </c:strCache>
            </c:strRef>
          </c:tx>
          <c:spPr>
            <a:solidFill>
              <a:srgbClr val="ffffff"/>
            </a:solidFill>
            <a:ln w="2844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'Correlation (190)'!$D$21:$D$210</c:f>
              <c:numCache>
                <c:formatCode>#,##0.0</c:formatCode>
                <c:ptCount val="190"/>
                <c:pt idx="0">
                  <c:v>322</c:v>
                </c:pt>
                <c:pt idx="1">
                  <c:v>-20.5</c:v>
                </c:pt>
                <c:pt idx="2">
                  <c:v>345.51</c:v>
                </c:pt>
                <c:pt idx="3">
                  <c:v>1717.68</c:v>
                </c:pt>
                <c:pt idx="4">
                  <c:v>0</c:v>
                </c:pt>
                <c:pt idx="5">
                  <c:v>19638.68</c:v>
                </c:pt>
                <c:pt idx="6">
                  <c:v>15.4</c:v>
                </c:pt>
                <c:pt idx="7">
                  <c:v>7881</c:v>
                </c:pt>
                <c:pt idx="8">
                  <c:v>-82.72</c:v>
                </c:pt>
                <c:pt idx="9">
                  <c:v>302.7</c:v>
                </c:pt>
                <c:pt idx="10">
                  <c:v>2</c:v>
                </c:pt>
                <c:pt idx="11">
                  <c:v>-1.67</c:v>
                </c:pt>
                <c:pt idx="12">
                  <c:v>-1</c:v>
                </c:pt>
                <c:pt idx="13">
                  <c:v>-8</c:v>
                </c:pt>
                <c:pt idx="14">
                  <c:v>-603.7</c:v>
                </c:pt>
                <c:pt idx="15">
                  <c:v>3.75999999999999</c:v>
                </c:pt>
                <c:pt idx="16">
                  <c:v>33</c:v>
                </c:pt>
                <c:pt idx="17">
                  <c:v>1627.83</c:v>
                </c:pt>
                <c:pt idx="18">
                  <c:v>-59</c:v>
                </c:pt>
                <c:pt idx="19">
                  <c:v>2755.69</c:v>
                </c:pt>
                <c:pt idx="20">
                  <c:v>-656</c:v>
                </c:pt>
                <c:pt idx="21">
                  <c:v>1.70999999999998</c:v>
                </c:pt>
                <c:pt idx="22">
                  <c:v>8694.59</c:v>
                </c:pt>
                <c:pt idx="23">
                  <c:v>3.9</c:v>
                </c:pt>
                <c:pt idx="24">
                  <c:v>-155.42</c:v>
                </c:pt>
                <c:pt idx="25">
                  <c:v>3384.91</c:v>
                </c:pt>
                <c:pt idx="26">
                  <c:v>164.35</c:v>
                </c:pt>
                <c:pt idx="27">
                  <c:v>7.89</c:v>
                </c:pt>
                <c:pt idx="28">
                  <c:v>784.91</c:v>
                </c:pt>
                <c:pt idx="29">
                  <c:v>746.4</c:v>
                </c:pt>
                <c:pt idx="30">
                  <c:v>-2823</c:v>
                </c:pt>
                <c:pt idx="31">
                  <c:v>697.17</c:v>
                </c:pt>
                <c:pt idx="32">
                  <c:v>1709.46</c:v>
                </c:pt>
                <c:pt idx="33">
                  <c:v>-252.32</c:v>
                </c:pt>
                <c:pt idx="34">
                  <c:v>-1432</c:v>
                </c:pt>
                <c:pt idx="35">
                  <c:v>450</c:v>
                </c:pt>
                <c:pt idx="36">
                  <c:v>20.04</c:v>
                </c:pt>
                <c:pt idx="37">
                  <c:v>111.46</c:v>
                </c:pt>
                <c:pt idx="38">
                  <c:v>-1.54</c:v>
                </c:pt>
                <c:pt idx="39">
                  <c:v>99.35</c:v>
                </c:pt>
                <c:pt idx="40">
                  <c:v>36</c:v>
                </c:pt>
                <c:pt idx="41">
                  <c:v>-672.65</c:v>
                </c:pt>
                <c:pt idx="42">
                  <c:v>-17.47</c:v>
                </c:pt>
                <c:pt idx="43">
                  <c:v>-753</c:v>
                </c:pt>
                <c:pt idx="44">
                  <c:v>5938.03</c:v>
                </c:pt>
                <c:pt idx="45">
                  <c:v>66.98</c:v>
                </c:pt>
                <c:pt idx="46">
                  <c:v>10030.18</c:v>
                </c:pt>
                <c:pt idx="47">
                  <c:v>106</c:v>
                </c:pt>
                <c:pt idx="48">
                  <c:v>2.75</c:v>
                </c:pt>
                <c:pt idx="49">
                  <c:v>3.5</c:v>
                </c:pt>
                <c:pt idx="50">
                  <c:v>-36.25</c:v>
                </c:pt>
                <c:pt idx="51">
                  <c:v>-570</c:v>
                </c:pt>
                <c:pt idx="52">
                  <c:v>827</c:v>
                </c:pt>
                <c:pt idx="53">
                  <c:v>-1.25999999999999</c:v>
                </c:pt>
                <c:pt idx="54">
                  <c:v>-8.84999999999999</c:v>
                </c:pt>
                <c:pt idx="55">
                  <c:v>129.56</c:v>
                </c:pt>
                <c:pt idx="56">
                  <c:v>-140</c:v>
                </c:pt>
                <c:pt idx="57">
                  <c:v>6.38</c:v>
                </c:pt>
                <c:pt idx="58">
                  <c:v>7965.43</c:v>
                </c:pt>
                <c:pt idx="59">
                  <c:v>0.01</c:v>
                </c:pt>
                <c:pt idx="60">
                  <c:v>-77.52</c:v>
                </c:pt>
                <c:pt idx="61">
                  <c:v>61.4000000000001</c:v>
                </c:pt>
                <c:pt idx="62">
                  <c:v>-1543.67</c:v>
                </c:pt>
                <c:pt idx="63">
                  <c:v>0.43</c:v>
                </c:pt>
                <c:pt idx="64">
                  <c:v>1.51</c:v>
                </c:pt>
                <c:pt idx="65">
                  <c:v>0</c:v>
                </c:pt>
                <c:pt idx="66">
                  <c:v>374.37</c:v>
                </c:pt>
                <c:pt idx="67">
                  <c:v>-641.7</c:v>
                </c:pt>
                <c:pt idx="68">
                  <c:v>-139</c:v>
                </c:pt>
                <c:pt idx="69">
                  <c:v>1841.3</c:v>
                </c:pt>
                <c:pt idx="70">
                  <c:v>-966</c:v>
                </c:pt>
                <c:pt idx="71">
                  <c:v>-4</c:v>
                </c:pt>
                <c:pt idx="72">
                  <c:v>-2.63</c:v>
                </c:pt>
                <c:pt idx="73">
                  <c:v>775.22</c:v>
                </c:pt>
                <c:pt idx="74">
                  <c:v>3903</c:v>
                </c:pt>
                <c:pt idx="75">
                  <c:v>111.37</c:v>
                </c:pt>
                <c:pt idx="76">
                  <c:v>4.72</c:v>
                </c:pt>
                <c:pt idx="77">
                  <c:v>105</c:v>
                </c:pt>
                <c:pt idx="78">
                  <c:v>243.83</c:v>
                </c:pt>
                <c:pt idx="79">
                  <c:v>-508.89</c:v>
                </c:pt>
                <c:pt idx="80">
                  <c:v>-8</c:v>
                </c:pt>
                <c:pt idx="81">
                  <c:v>-1807</c:v>
                </c:pt>
                <c:pt idx="82">
                  <c:v>10259.44</c:v>
                </c:pt>
                <c:pt idx="83">
                  <c:v>1306</c:v>
                </c:pt>
                <c:pt idx="84">
                  <c:v>911.400000000001</c:v>
                </c:pt>
                <c:pt idx="85">
                  <c:v>-49.1</c:v>
                </c:pt>
                <c:pt idx="86">
                  <c:v>-51.3</c:v>
                </c:pt>
                <c:pt idx="87">
                  <c:v>-1873.5</c:v>
                </c:pt>
                <c:pt idx="88">
                  <c:v>-60.19</c:v>
                </c:pt>
                <c:pt idx="89">
                  <c:v>-533</c:v>
                </c:pt>
                <c:pt idx="90">
                  <c:v>8.30000000000001</c:v>
                </c:pt>
                <c:pt idx="91">
                  <c:v>286.5</c:v>
                </c:pt>
                <c:pt idx="92">
                  <c:v>2257.87</c:v>
                </c:pt>
                <c:pt idx="93">
                  <c:v>2</c:v>
                </c:pt>
                <c:pt idx="94">
                  <c:v>-57.7</c:v>
                </c:pt>
                <c:pt idx="95">
                  <c:v>604.06</c:v>
                </c:pt>
                <c:pt idx="96">
                  <c:v>388</c:v>
                </c:pt>
                <c:pt idx="97">
                  <c:v>5.94999999999999</c:v>
                </c:pt>
                <c:pt idx="98">
                  <c:v>257.5</c:v>
                </c:pt>
                <c:pt idx="99">
                  <c:v>100.71</c:v>
                </c:pt>
                <c:pt idx="100">
                  <c:v>-100</c:v>
                </c:pt>
                <c:pt idx="101">
                  <c:v>-585</c:v>
                </c:pt>
                <c:pt idx="102">
                  <c:v>-0.119999999999997</c:v>
                </c:pt>
                <c:pt idx="103">
                  <c:v>187.48</c:v>
                </c:pt>
                <c:pt idx="104">
                  <c:v>1402.69</c:v>
                </c:pt>
                <c:pt idx="105">
                  <c:v>942.639999999999</c:v>
                </c:pt>
                <c:pt idx="106">
                  <c:v>-3.1</c:v>
                </c:pt>
                <c:pt idx="107">
                  <c:v>2380.6</c:v>
                </c:pt>
                <c:pt idx="108">
                  <c:v>-0.710000000000001</c:v>
                </c:pt>
                <c:pt idx="109">
                  <c:v>-4.15</c:v>
                </c:pt>
                <c:pt idx="110">
                  <c:v>0</c:v>
                </c:pt>
                <c:pt idx="111">
                  <c:v>-24.72</c:v>
                </c:pt>
                <c:pt idx="112">
                  <c:v>-932.290000000001</c:v>
                </c:pt>
                <c:pt idx="113">
                  <c:v>-0.49</c:v>
                </c:pt>
                <c:pt idx="114">
                  <c:v>-27.03</c:v>
                </c:pt>
                <c:pt idx="115">
                  <c:v>-652</c:v>
                </c:pt>
                <c:pt idx="116">
                  <c:v>2815.24</c:v>
                </c:pt>
                <c:pt idx="117">
                  <c:v>2019.34</c:v>
                </c:pt>
                <c:pt idx="118">
                  <c:v>-8</c:v>
                </c:pt>
                <c:pt idx="119">
                  <c:v>-514.3</c:v>
                </c:pt>
                <c:pt idx="120">
                  <c:v>-12.7</c:v>
                </c:pt>
                <c:pt idx="121">
                  <c:v>-3.25</c:v>
                </c:pt>
                <c:pt idx="122">
                  <c:v>138.12</c:v>
                </c:pt>
                <c:pt idx="123">
                  <c:v>3836.85</c:v>
                </c:pt>
                <c:pt idx="124">
                  <c:v>4229.15</c:v>
                </c:pt>
                <c:pt idx="125">
                  <c:v>0</c:v>
                </c:pt>
                <c:pt idx="126">
                  <c:v>-143</c:v>
                </c:pt>
                <c:pt idx="127">
                  <c:v>-78</c:v>
                </c:pt>
                <c:pt idx="128">
                  <c:v>48.74</c:v>
                </c:pt>
                <c:pt idx="129">
                  <c:v>-703</c:v>
                </c:pt>
                <c:pt idx="130">
                  <c:v>-78.01</c:v>
                </c:pt>
                <c:pt idx="131">
                  <c:v>-92.22</c:v>
                </c:pt>
                <c:pt idx="132">
                  <c:v>307</c:v>
                </c:pt>
                <c:pt idx="133">
                  <c:v>1533.49</c:v>
                </c:pt>
                <c:pt idx="134">
                  <c:v>1081.67</c:v>
                </c:pt>
                <c:pt idx="135">
                  <c:v>1668.47</c:v>
                </c:pt>
                <c:pt idx="136">
                  <c:v>-2784</c:v>
                </c:pt>
                <c:pt idx="137">
                  <c:v>-811.94</c:v>
                </c:pt>
                <c:pt idx="138">
                  <c:v>-26.49</c:v>
                </c:pt>
                <c:pt idx="139">
                  <c:v>8</c:v>
                </c:pt>
                <c:pt idx="140">
                  <c:v>-406</c:v>
                </c:pt>
                <c:pt idx="141">
                  <c:v>-25</c:v>
                </c:pt>
                <c:pt idx="142">
                  <c:v>-1095</c:v>
                </c:pt>
                <c:pt idx="143">
                  <c:v>-2589</c:v>
                </c:pt>
                <c:pt idx="144">
                  <c:v>300.53</c:v>
                </c:pt>
                <c:pt idx="145">
                  <c:v>-12.34</c:v>
                </c:pt>
                <c:pt idx="146">
                  <c:v>-2.23</c:v>
                </c:pt>
                <c:pt idx="147">
                  <c:v>-3.91</c:v>
                </c:pt>
                <c:pt idx="148">
                  <c:v>0</c:v>
                </c:pt>
                <c:pt idx="149">
                  <c:v>-2</c:v>
                </c:pt>
                <c:pt idx="150">
                  <c:v>8.26</c:v>
                </c:pt>
                <c:pt idx="151">
                  <c:v>333.84</c:v>
                </c:pt>
                <c:pt idx="152">
                  <c:v>535.56</c:v>
                </c:pt>
                <c:pt idx="153">
                  <c:v>-2.44</c:v>
                </c:pt>
                <c:pt idx="154">
                  <c:v>1139</c:v>
                </c:pt>
                <c:pt idx="155">
                  <c:v>-0.54</c:v>
                </c:pt>
                <c:pt idx="156">
                  <c:v>-251</c:v>
                </c:pt>
                <c:pt idx="157">
                  <c:v>29.38</c:v>
                </c:pt>
                <c:pt idx="158">
                  <c:v>32.53</c:v>
                </c:pt>
                <c:pt idx="159">
                  <c:v>62.27</c:v>
                </c:pt>
                <c:pt idx="160">
                  <c:v>-1784</c:v>
                </c:pt>
                <c:pt idx="161">
                  <c:v>-1697.49</c:v>
                </c:pt>
                <c:pt idx="162">
                  <c:v>656.9</c:v>
                </c:pt>
                <c:pt idx="163">
                  <c:v>-11.57</c:v>
                </c:pt>
                <c:pt idx="164">
                  <c:v>-73.1999999999998</c:v>
                </c:pt>
                <c:pt idx="165">
                  <c:v>-10.19</c:v>
                </c:pt>
                <c:pt idx="166">
                  <c:v>91.3000000000002</c:v>
                </c:pt>
                <c:pt idx="167">
                  <c:v>163</c:v>
                </c:pt>
                <c:pt idx="168">
                  <c:v>598.789999999997</c:v>
                </c:pt>
                <c:pt idx="169">
                  <c:v>4.40000000000001</c:v>
                </c:pt>
                <c:pt idx="170">
                  <c:v>353.18</c:v>
                </c:pt>
                <c:pt idx="171">
                  <c:v>4.89</c:v>
                </c:pt>
                <c:pt idx="172">
                  <c:v>-6.69</c:v>
                </c:pt>
                <c:pt idx="173">
                  <c:v>-98.6000000000004</c:v>
                </c:pt>
                <c:pt idx="174">
                  <c:v>13.8</c:v>
                </c:pt>
                <c:pt idx="175">
                  <c:v>-2408</c:v>
                </c:pt>
                <c:pt idx="176">
                  <c:v>4099</c:v>
                </c:pt>
                <c:pt idx="177">
                  <c:v>281</c:v>
                </c:pt>
                <c:pt idx="178">
                  <c:v>-149.67</c:v>
                </c:pt>
                <c:pt idx="179">
                  <c:v>158.18</c:v>
                </c:pt>
                <c:pt idx="180">
                  <c:v>5850</c:v>
                </c:pt>
                <c:pt idx="181">
                  <c:v>-23333.87</c:v>
                </c:pt>
                <c:pt idx="182">
                  <c:v>925.23</c:v>
                </c:pt>
                <c:pt idx="183">
                  <c:v>-363.83</c:v>
                </c:pt>
                <c:pt idx="184">
                  <c:v>4.68000000000001</c:v>
                </c:pt>
                <c:pt idx="185">
                  <c:v>-95</c:v>
                </c:pt>
                <c:pt idx="186">
                  <c:v>3357.37</c:v>
                </c:pt>
                <c:pt idx="187">
                  <c:v>-217</c:v>
                </c:pt>
                <c:pt idx="188">
                  <c:v>970.51</c:v>
                </c:pt>
                <c:pt idx="189">
                  <c:v>309.64</c:v>
                </c:pt>
              </c:numCache>
            </c:numRef>
          </c:xVal>
          <c:yVal>
            <c:numRef>
              <c:f>'Correlation (190)'!$G$21:$G$210</c:f>
              <c:numCache>
                <c:formatCode>#,##0.0</c:formatCode>
                <c:ptCount val="190"/>
                <c:pt idx="0">
                  <c:v>0</c:v>
                </c:pt>
                <c:pt idx="1">
                  <c:v>171.7</c:v>
                </c:pt>
                <c:pt idx="2">
                  <c:v>-15.51</c:v>
                </c:pt>
                <c:pt idx="3">
                  <c:v>-11730.69</c:v>
                </c:pt>
                <c:pt idx="4">
                  <c:v>-1.53</c:v>
                </c:pt>
                <c:pt idx="5">
                  <c:v>-6485.18</c:v>
                </c:pt>
                <c:pt idx="6">
                  <c:v>1.43000000000001</c:v>
                </c:pt>
                <c:pt idx="7">
                  <c:v>546.119999999995</c:v>
                </c:pt>
                <c:pt idx="8">
                  <c:v>60.1300000000001</c:v>
                </c:pt>
                <c:pt idx="9">
                  <c:v>205.45</c:v>
                </c:pt>
                <c:pt idx="10">
                  <c:v>0</c:v>
                </c:pt>
                <c:pt idx="11">
                  <c:v>2.04</c:v>
                </c:pt>
                <c:pt idx="12">
                  <c:v>-44.9299999999998</c:v>
                </c:pt>
                <c:pt idx="13">
                  <c:v>0</c:v>
                </c:pt>
                <c:pt idx="14">
                  <c:v>649.459999999999</c:v>
                </c:pt>
                <c:pt idx="15">
                  <c:v>3.22000000000003</c:v>
                </c:pt>
                <c:pt idx="16">
                  <c:v>-173.82</c:v>
                </c:pt>
                <c:pt idx="17">
                  <c:v>-2466.24</c:v>
                </c:pt>
                <c:pt idx="18">
                  <c:v>85.71</c:v>
                </c:pt>
                <c:pt idx="19">
                  <c:v>-4236.18</c:v>
                </c:pt>
                <c:pt idx="20">
                  <c:v>48.3499999999999</c:v>
                </c:pt>
                <c:pt idx="21">
                  <c:v>2.30000000000109</c:v>
                </c:pt>
                <c:pt idx="22">
                  <c:v>-68121.63</c:v>
                </c:pt>
                <c:pt idx="23">
                  <c:v>-17</c:v>
                </c:pt>
                <c:pt idx="24">
                  <c:v>558.8</c:v>
                </c:pt>
                <c:pt idx="25">
                  <c:v>-2901.28</c:v>
                </c:pt>
                <c:pt idx="26">
                  <c:v>85.7</c:v>
                </c:pt>
                <c:pt idx="27">
                  <c:v>11.92</c:v>
                </c:pt>
                <c:pt idx="28">
                  <c:v>-3830.36</c:v>
                </c:pt>
                <c:pt idx="29">
                  <c:v>-2220.36</c:v>
                </c:pt>
                <c:pt idx="30">
                  <c:v>8533.45999999996</c:v>
                </c:pt>
                <c:pt idx="31">
                  <c:v>-897.07</c:v>
                </c:pt>
                <c:pt idx="32">
                  <c:v>-2485.59</c:v>
                </c:pt>
                <c:pt idx="33">
                  <c:v>747.079999999998</c:v>
                </c:pt>
                <c:pt idx="34">
                  <c:v>46930.45</c:v>
                </c:pt>
                <c:pt idx="35">
                  <c:v>-2846.91</c:v>
                </c:pt>
                <c:pt idx="36">
                  <c:v>-9.61</c:v>
                </c:pt>
                <c:pt idx="37">
                  <c:v>-309.200000000001</c:v>
                </c:pt>
                <c:pt idx="38">
                  <c:v>0.0199999999999996</c:v>
                </c:pt>
                <c:pt idx="39">
                  <c:v>133.55</c:v>
                </c:pt>
                <c:pt idx="40">
                  <c:v>58.5599999999999</c:v>
                </c:pt>
                <c:pt idx="41">
                  <c:v>919</c:v>
                </c:pt>
                <c:pt idx="42">
                  <c:v>0.429999999999978</c:v>
                </c:pt>
                <c:pt idx="43">
                  <c:v>85</c:v>
                </c:pt>
                <c:pt idx="44">
                  <c:v>-2226.85</c:v>
                </c:pt>
                <c:pt idx="45">
                  <c:v>249.79</c:v>
                </c:pt>
                <c:pt idx="46">
                  <c:v>-14035.48</c:v>
                </c:pt>
                <c:pt idx="47">
                  <c:v>67.02</c:v>
                </c:pt>
                <c:pt idx="48">
                  <c:v>0.310000000000001</c:v>
                </c:pt>
                <c:pt idx="49">
                  <c:v>-1.11</c:v>
                </c:pt>
                <c:pt idx="50">
                  <c:v>78.4199999999996</c:v>
                </c:pt>
                <c:pt idx="51">
                  <c:v>-1359.87</c:v>
                </c:pt>
                <c:pt idx="52">
                  <c:v>0.19</c:v>
                </c:pt>
                <c:pt idx="53">
                  <c:v>-22.64</c:v>
                </c:pt>
                <c:pt idx="54">
                  <c:v>-192.24</c:v>
                </c:pt>
                <c:pt idx="55">
                  <c:v>-137.53</c:v>
                </c:pt>
                <c:pt idx="56">
                  <c:v>206.71</c:v>
                </c:pt>
                <c:pt idx="57">
                  <c:v>-34.5</c:v>
                </c:pt>
                <c:pt idx="58">
                  <c:v>-1054.46</c:v>
                </c:pt>
                <c:pt idx="59">
                  <c:v>0</c:v>
                </c:pt>
                <c:pt idx="60">
                  <c:v>120.87</c:v>
                </c:pt>
                <c:pt idx="61">
                  <c:v>97.3600000000006</c:v>
                </c:pt>
                <c:pt idx="62">
                  <c:v>2328.2</c:v>
                </c:pt>
                <c:pt idx="63">
                  <c:v>-89.1299999999992</c:v>
                </c:pt>
                <c:pt idx="64">
                  <c:v>0.909999999999997</c:v>
                </c:pt>
                <c:pt idx="65">
                  <c:v>-132.849999999999</c:v>
                </c:pt>
                <c:pt idx="66">
                  <c:v>-135.33</c:v>
                </c:pt>
                <c:pt idx="67">
                  <c:v>61.8000000000002</c:v>
                </c:pt>
                <c:pt idx="68">
                  <c:v>117.799999999999</c:v>
                </c:pt>
                <c:pt idx="69">
                  <c:v>821.56</c:v>
                </c:pt>
                <c:pt idx="70">
                  <c:v>1053.9</c:v>
                </c:pt>
                <c:pt idx="71">
                  <c:v>0</c:v>
                </c:pt>
                <c:pt idx="72">
                  <c:v>2.79000000000001</c:v>
                </c:pt>
                <c:pt idx="73">
                  <c:v>-664.63</c:v>
                </c:pt>
                <c:pt idx="74">
                  <c:v>-1540.93</c:v>
                </c:pt>
                <c:pt idx="75">
                  <c:v>-99.0499999999997</c:v>
                </c:pt>
                <c:pt idx="76">
                  <c:v>-171.77</c:v>
                </c:pt>
                <c:pt idx="77">
                  <c:v>-14.9</c:v>
                </c:pt>
                <c:pt idx="78">
                  <c:v>-1167.7</c:v>
                </c:pt>
                <c:pt idx="79">
                  <c:v>154.05</c:v>
                </c:pt>
                <c:pt idx="80">
                  <c:v>27.33</c:v>
                </c:pt>
                <c:pt idx="81">
                  <c:v>4976</c:v>
                </c:pt>
                <c:pt idx="82">
                  <c:v>3847.73999999999</c:v>
                </c:pt>
                <c:pt idx="83">
                  <c:v>0</c:v>
                </c:pt>
                <c:pt idx="84">
                  <c:v>-111.86</c:v>
                </c:pt>
                <c:pt idx="85">
                  <c:v>186.68</c:v>
                </c:pt>
                <c:pt idx="86">
                  <c:v>-7</c:v>
                </c:pt>
                <c:pt idx="87">
                  <c:v>1027.73</c:v>
                </c:pt>
                <c:pt idx="88">
                  <c:v>87.53</c:v>
                </c:pt>
                <c:pt idx="89">
                  <c:v>36.4000000000015</c:v>
                </c:pt>
                <c:pt idx="90">
                  <c:v>0</c:v>
                </c:pt>
                <c:pt idx="91">
                  <c:v>335.78</c:v>
                </c:pt>
                <c:pt idx="92">
                  <c:v>-31.3400000000001</c:v>
                </c:pt>
                <c:pt idx="93">
                  <c:v>1.31</c:v>
                </c:pt>
                <c:pt idx="94">
                  <c:v>74.4499999999998</c:v>
                </c:pt>
                <c:pt idx="95">
                  <c:v>-943.330000000002</c:v>
                </c:pt>
                <c:pt idx="96">
                  <c:v>212.83</c:v>
                </c:pt>
                <c:pt idx="97">
                  <c:v>2.24000000000001</c:v>
                </c:pt>
                <c:pt idx="98">
                  <c:v>0</c:v>
                </c:pt>
                <c:pt idx="99">
                  <c:v>-1601.08</c:v>
                </c:pt>
                <c:pt idx="100">
                  <c:v>-7.66999999999999</c:v>
                </c:pt>
                <c:pt idx="101">
                  <c:v>190.68</c:v>
                </c:pt>
                <c:pt idx="102">
                  <c:v>2</c:v>
                </c:pt>
                <c:pt idx="103">
                  <c:v>-2843.72</c:v>
                </c:pt>
                <c:pt idx="104">
                  <c:v>-966</c:v>
                </c:pt>
                <c:pt idx="105">
                  <c:v>-686.609999999997</c:v>
                </c:pt>
                <c:pt idx="106">
                  <c:v>0</c:v>
                </c:pt>
                <c:pt idx="107">
                  <c:v>-2312.56</c:v>
                </c:pt>
                <c:pt idx="108">
                  <c:v>0.12</c:v>
                </c:pt>
                <c:pt idx="109">
                  <c:v>3.78</c:v>
                </c:pt>
                <c:pt idx="110">
                  <c:v>60.4400000000001</c:v>
                </c:pt>
                <c:pt idx="111">
                  <c:v>-3.64</c:v>
                </c:pt>
                <c:pt idx="112">
                  <c:v>-3072.54000000001</c:v>
                </c:pt>
                <c:pt idx="113">
                  <c:v>0.650000000000006</c:v>
                </c:pt>
                <c:pt idx="114">
                  <c:v>-85.5699999999997</c:v>
                </c:pt>
                <c:pt idx="115">
                  <c:v>-3.96000000000004</c:v>
                </c:pt>
                <c:pt idx="116">
                  <c:v>-6141.66</c:v>
                </c:pt>
                <c:pt idx="117">
                  <c:v>-7193.37</c:v>
                </c:pt>
                <c:pt idx="118">
                  <c:v>-14.8299999999999</c:v>
                </c:pt>
                <c:pt idx="119">
                  <c:v>317.57</c:v>
                </c:pt>
                <c:pt idx="120">
                  <c:v>8.93000000000001</c:v>
                </c:pt>
                <c:pt idx="121">
                  <c:v>54.76</c:v>
                </c:pt>
                <c:pt idx="122">
                  <c:v>317.49</c:v>
                </c:pt>
                <c:pt idx="123">
                  <c:v>-263.16</c:v>
                </c:pt>
                <c:pt idx="124">
                  <c:v>-2918.31</c:v>
                </c:pt>
                <c:pt idx="125">
                  <c:v>0.0400000000000027</c:v>
                </c:pt>
                <c:pt idx="126">
                  <c:v>75.04</c:v>
                </c:pt>
                <c:pt idx="127">
                  <c:v>-84.9699999999994</c:v>
                </c:pt>
                <c:pt idx="128">
                  <c:v>0</c:v>
                </c:pt>
                <c:pt idx="129">
                  <c:v>-166.02</c:v>
                </c:pt>
                <c:pt idx="130">
                  <c:v>2.02</c:v>
                </c:pt>
                <c:pt idx="131">
                  <c:v>-170.139999999999</c:v>
                </c:pt>
                <c:pt idx="132">
                  <c:v>-358.760000000002</c:v>
                </c:pt>
                <c:pt idx="133">
                  <c:v>-7284.9</c:v>
                </c:pt>
                <c:pt idx="134">
                  <c:v>-6286.08</c:v>
                </c:pt>
                <c:pt idx="135">
                  <c:v>44.4799999999996</c:v>
                </c:pt>
                <c:pt idx="136">
                  <c:v>423.68</c:v>
                </c:pt>
                <c:pt idx="137">
                  <c:v>2.75999999999976</c:v>
                </c:pt>
                <c:pt idx="138">
                  <c:v>17.33</c:v>
                </c:pt>
                <c:pt idx="139">
                  <c:v>0</c:v>
                </c:pt>
                <c:pt idx="140">
                  <c:v>-189.32</c:v>
                </c:pt>
                <c:pt idx="141">
                  <c:v>27.06</c:v>
                </c:pt>
                <c:pt idx="142">
                  <c:v>579.9</c:v>
                </c:pt>
                <c:pt idx="143">
                  <c:v>18505.47</c:v>
                </c:pt>
                <c:pt idx="144">
                  <c:v>196.28</c:v>
                </c:pt>
                <c:pt idx="145">
                  <c:v>6.15000000000001</c:v>
                </c:pt>
                <c:pt idx="146">
                  <c:v>0</c:v>
                </c:pt>
                <c:pt idx="147">
                  <c:v>3.68</c:v>
                </c:pt>
                <c:pt idx="148">
                  <c:v>0.0199999999999996</c:v>
                </c:pt>
                <c:pt idx="149">
                  <c:v>-11.05</c:v>
                </c:pt>
                <c:pt idx="150">
                  <c:v>-3.31</c:v>
                </c:pt>
                <c:pt idx="151">
                  <c:v>4.5</c:v>
                </c:pt>
                <c:pt idx="152">
                  <c:v>-357.51</c:v>
                </c:pt>
                <c:pt idx="153">
                  <c:v>-5</c:v>
                </c:pt>
                <c:pt idx="154">
                  <c:v>-453.71</c:v>
                </c:pt>
                <c:pt idx="155">
                  <c:v>-1.21</c:v>
                </c:pt>
                <c:pt idx="156">
                  <c:v>35.3699999999999</c:v>
                </c:pt>
                <c:pt idx="157">
                  <c:v>10.6600000000001</c:v>
                </c:pt>
                <c:pt idx="158">
                  <c:v>-16.9400000000001</c:v>
                </c:pt>
                <c:pt idx="159">
                  <c:v>-2534.35</c:v>
                </c:pt>
                <c:pt idx="160">
                  <c:v>2014.05</c:v>
                </c:pt>
                <c:pt idx="161">
                  <c:v>1978.56</c:v>
                </c:pt>
                <c:pt idx="162">
                  <c:v>-100.56</c:v>
                </c:pt>
                <c:pt idx="163">
                  <c:v>-191.279999999999</c:v>
                </c:pt>
                <c:pt idx="164">
                  <c:v>-229</c:v>
                </c:pt>
                <c:pt idx="165">
                  <c:v>67.1799999999998</c:v>
                </c:pt>
                <c:pt idx="166">
                  <c:v>66.98</c:v>
                </c:pt>
                <c:pt idx="167">
                  <c:v>13.9</c:v>
                </c:pt>
                <c:pt idx="168">
                  <c:v>-241.490000000002</c:v>
                </c:pt>
                <c:pt idx="169">
                  <c:v>-30.54</c:v>
                </c:pt>
                <c:pt idx="170">
                  <c:v>-50.0799999999999</c:v>
                </c:pt>
                <c:pt idx="171">
                  <c:v>0</c:v>
                </c:pt>
                <c:pt idx="172">
                  <c:v>-9.75</c:v>
                </c:pt>
                <c:pt idx="173">
                  <c:v>24.25</c:v>
                </c:pt>
                <c:pt idx="174">
                  <c:v>0</c:v>
                </c:pt>
                <c:pt idx="175">
                  <c:v>2423.25</c:v>
                </c:pt>
                <c:pt idx="176">
                  <c:v>-976.97</c:v>
                </c:pt>
                <c:pt idx="177">
                  <c:v>504</c:v>
                </c:pt>
                <c:pt idx="178">
                  <c:v>8.94</c:v>
                </c:pt>
                <c:pt idx="179">
                  <c:v>298.8</c:v>
                </c:pt>
                <c:pt idx="180">
                  <c:v>-9797</c:v>
                </c:pt>
                <c:pt idx="181">
                  <c:v>5503</c:v>
                </c:pt>
                <c:pt idx="182">
                  <c:v>650.92</c:v>
                </c:pt>
                <c:pt idx="183">
                  <c:v>850.65</c:v>
                </c:pt>
                <c:pt idx="184">
                  <c:v>-54.8399999999999</c:v>
                </c:pt>
                <c:pt idx="185">
                  <c:v>-2044.76</c:v>
                </c:pt>
                <c:pt idx="186">
                  <c:v>2960.84</c:v>
                </c:pt>
                <c:pt idx="187">
                  <c:v>0</c:v>
                </c:pt>
                <c:pt idx="188">
                  <c:v>-1985.4</c:v>
                </c:pt>
                <c:pt idx="189">
                  <c:v>-1786.18</c:v>
                </c:pt>
              </c:numCache>
            </c:numRef>
          </c:yVal>
          <c:smooth val="1"/>
        </c:ser>
        <c:axId val="98102350"/>
        <c:axId val="68185493"/>
      </c:scatterChart>
      <c:valAx>
        <c:axId val="98102350"/>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Δ cropland 2000–2023 (1000 ha)</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185493"/>
        <c:crosses val="autoZero"/>
        <c:crossBetween val="midCat"/>
      </c:valAx>
      <c:valAx>
        <c:axId val="681854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Δ forest 2000–2023 (1000 ha)</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102350"/>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0</xdr:rowOff>
    </xdr:from>
    <xdr:to>
      <xdr:col>11</xdr:col>
      <xdr:colOff>128160</xdr:colOff>
      <xdr:row>19</xdr:row>
      <xdr:rowOff>151560</xdr:rowOff>
    </xdr:to>
    <xdr:graphicFrame>
      <xdr:nvGraphicFramePr>
        <xdr:cNvPr id="0" name="Chart 1"/>
        <xdr:cNvGraphicFramePr/>
      </xdr:nvGraphicFramePr>
      <xdr:xfrm>
        <a:off x="4581360" y="514440"/>
        <a:ext cx="61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8" min="2" style="0" width="12"/>
  </cols>
  <sheetData>
    <row r="1" customFormat="false" ht="30" hidden="false" customHeight="true" outlineLevel="0" collapsed="false">
      <c r="A1" s="1" t="s">
        <v>0</v>
      </c>
      <c r="B1" s="1"/>
      <c r="C1" s="1"/>
      <c r="D1" s="1"/>
      <c r="E1" s="1"/>
      <c r="F1" s="1"/>
      <c r="G1" s="1"/>
      <c r="H1" s="1"/>
    </row>
    <row r="2" customFormat="false" ht="15.75" hidden="false" customHeight="true" outlineLevel="0" collapsed="false">
      <c r="A2" s="2"/>
      <c r="B2" s="2"/>
      <c r="C2" s="2"/>
      <c r="D2" s="2"/>
      <c r="E2" s="2"/>
      <c r="F2" s="2"/>
      <c r="G2" s="2"/>
      <c r="H2" s="2"/>
    </row>
    <row r="3" customFormat="false" ht="27.75" hidden="false" customHeight="true" outlineLevel="0" collapsed="false">
      <c r="A3" s="3" t="s">
        <v>1</v>
      </c>
      <c r="B3" s="3"/>
      <c r="C3" s="3"/>
      <c r="D3" s="3"/>
      <c r="E3" s="3"/>
      <c r="F3" s="3"/>
      <c r="G3" s="3"/>
      <c r="H3" s="3"/>
    </row>
    <row r="4" customFormat="false" ht="30" hidden="false" customHeight="true" outlineLevel="0" collapsed="false">
      <c r="A4" s="2" t="s">
        <v>2</v>
      </c>
      <c r="B4" s="2"/>
      <c r="C4" s="2"/>
      <c r="D4" s="2"/>
      <c r="E4" s="2"/>
      <c r="F4" s="2"/>
      <c r="G4" s="2"/>
      <c r="H4" s="2"/>
    </row>
    <row r="5" customFormat="false" ht="15.75" hidden="false" customHeight="true" outlineLevel="0" collapsed="false">
      <c r="A5" s="2" t="s">
        <v>3</v>
      </c>
      <c r="B5" s="2"/>
      <c r="C5" s="2"/>
      <c r="D5" s="2"/>
      <c r="E5" s="2"/>
      <c r="F5" s="2"/>
      <c r="G5" s="2"/>
      <c r="H5" s="2"/>
    </row>
    <row r="6" customFormat="false" ht="15.75" hidden="false" customHeight="true" outlineLevel="0" collapsed="false">
      <c r="A6" s="2" t="s">
        <v>4</v>
      </c>
      <c r="B6" s="2"/>
      <c r="C6" s="2"/>
      <c r="D6" s="2"/>
      <c r="E6" s="2"/>
      <c r="F6" s="2"/>
      <c r="G6" s="2"/>
      <c r="H6" s="2"/>
    </row>
    <row r="7" customFormat="false" ht="15.75" hidden="false" customHeight="true" outlineLevel="0" collapsed="false">
      <c r="A7" s="2" t="s">
        <v>5</v>
      </c>
      <c r="B7" s="2"/>
      <c r="C7" s="2"/>
      <c r="D7" s="2"/>
      <c r="E7" s="2"/>
      <c r="F7" s="2"/>
      <c r="G7" s="2"/>
      <c r="H7" s="2"/>
    </row>
    <row r="8" customFormat="false" ht="30" hidden="false" customHeight="true" outlineLevel="0" collapsed="false">
      <c r="A8" s="2" t="s">
        <v>6</v>
      </c>
      <c r="B8" s="2"/>
      <c r="C8" s="2"/>
      <c r="D8" s="2"/>
      <c r="E8" s="2"/>
      <c r="F8" s="2"/>
      <c r="G8" s="2"/>
      <c r="H8" s="2"/>
    </row>
    <row r="9" customFormat="false" ht="15.75" hidden="false" customHeight="true" outlineLevel="0" collapsed="false">
      <c r="A9" s="2"/>
      <c r="B9" s="2"/>
      <c r="C9" s="2"/>
      <c r="D9" s="2"/>
      <c r="E9" s="2"/>
      <c r="F9" s="2"/>
      <c r="G9" s="2"/>
      <c r="H9" s="2"/>
    </row>
    <row r="10" customFormat="false" ht="27.75" hidden="false" customHeight="true" outlineLevel="0" collapsed="false">
      <c r="A10" s="3" t="s">
        <v>7</v>
      </c>
      <c r="B10" s="3"/>
      <c r="C10" s="3"/>
      <c r="D10" s="3"/>
      <c r="E10" s="3"/>
      <c r="F10" s="3"/>
      <c r="G10" s="3"/>
      <c r="H10" s="3"/>
    </row>
    <row r="11" customFormat="false" ht="27.75" hidden="false" customHeight="true" outlineLevel="0" collapsed="false">
      <c r="A11" s="4" t="s">
        <v>8</v>
      </c>
      <c r="B11" s="4"/>
      <c r="C11" s="4"/>
      <c r="D11" s="4"/>
      <c r="E11" s="4"/>
      <c r="F11" s="4"/>
      <c r="G11" s="4"/>
      <c r="H11" s="4"/>
    </row>
    <row r="12" customFormat="false" ht="45" hidden="false" customHeight="true" outlineLevel="0" collapsed="false">
      <c r="A12" s="2" t="s">
        <v>9</v>
      </c>
      <c r="B12" s="2"/>
      <c r="C12" s="2"/>
      <c r="D12" s="2"/>
      <c r="E12" s="2"/>
      <c r="F12" s="2"/>
      <c r="G12" s="2"/>
      <c r="H12" s="2"/>
    </row>
    <row r="13" customFormat="false" ht="15.75" hidden="false" customHeight="true" outlineLevel="0" collapsed="false">
      <c r="A13" s="2"/>
      <c r="B13" s="2"/>
      <c r="C13" s="2"/>
      <c r="D13" s="2"/>
      <c r="E13" s="2"/>
      <c r="F13" s="2"/>
      <c r="G13" s="2"/>
      <c r="H13" s="2"/>
    </row>
    <row r="14" customFormat="false" ht="27.75" hidden="false" customHeight="true" outlineLevel="0" collapsed="false">
      <c r="A14" s="3" t="s">
        <v>10</v>
      </c>
      <c r="B14" s="3"/>
      <c r="C14" s="3"/>
      <c r="D14" s="3"/>
      <c r="E14" s="3"/>
      <c r="F14" s="3"/>
      <c r="G14" s="3"/>
      <c r="H14" s="3"/>
    </row>
    <row r="15" customFormat="false" ht="15.75" hidden="false" customHeight="true" outlineLevel="0" collapsed="false">
      <c r="A15" s="2" t="s">
        <v>11</v>
      </c>
      <c r="B15" s="2"/>
      <c r="C15" s="2"/>
      <c r="D15" s="2"/>
      <c r="E15" s="2"/>
      <c r="F15" s="2"/>
      <c r="G15" s="2"/>
      <c r="H15" s="2"/>
    </row>
    <row r="16" customFormat="false" ht="15.75" hidden="false" customHeight="true" outlineLevel="0" collapsed="false">
      <c r="A16" s="2" t="s">
        <v>12</v>
      </c>
      <c r="B16" s="2"/>
      <c r="C16" s="2"/>
      <c r="D16" s="2"/>
      <c r="E16" s="2"/>
      <c r="F16" s="2"/>
      <c r="G16" s="2"/>
      <c r="H16" s="2"/>
    </row>
    <row r="17" customFormat="false" ht="30" hidden="false" customHeight="true" outlineLevel="0" collapsed="false">
      <c r="A17" s="2" t="s">
        <v>13</v>
      </c>
      <c r="B17" s="2"/>
      <c r="C17" s="2"/>
      <c r="D17" s="2"/>
      <c r="E17" s="2"/>
      <c r="F17" s="2"/>
      <c r="G17" s="2"/>
      <c r="H17" s="2"/>
    </row>
    <row r="18" customFormat="false" ht="15.75" hidden="false" customHeight="true" outlineLevel="0" collapsed="false">
      <c r="A18" s="2" t="s">
        <v>14</v>
      </c>
      <c r="B18" s="2"/>
      <c r="C18" s="2"/>
      <c r="D18" s="2"/>
      <c r="E18" s="2"/>
      <c r="F18" s="2"/>
      <c r="G18" s="2"/>
      <c r="H18" s="2"/>
    </row>
    <row r="19" customFormat="false" ht="15.75" hidden="false" customHeight="true" outlineLevel="0" collapsed="false">
      <c r="A19" s="2"/>
      <c r="B19" s="2"/>
      <c r="C19" s="2"/>
      <c r="D19" s="2"/>
      <c r="E19" s="2"/>
      <c r="F19" s="2"/>
      <c r="G19" s="2"/>
      <c r="H19" s="2"/>
    </row>
    <row r="20" customFormat="false" ht="27.75" hidden="false" customHeight="true" outlineLevel="0" collapsed="false">
      <c r="A20" s="3" t="s">
        <v>15</v>
      </c>
      <c r="B20" s="3"/>
      <c r="C20" s="3"/>
      <c r="D20" s="3"/>
      <c r="E20" s="3"/>
      <c r="F20" s="3"/>
      <c r="G20" s="3"/>
      <c r="H20" s="3"/>
    </row>
    <row r="21" customFormat="false" ht="27.75" hidden="false" customHeight="true" outlineLevel="0" collapsed="false">
      <c r="A21" s="5" t="s">
        <v>16</v>
      </c>
      <c r="B21" s="5"/>
      <c r="C21" s="5"/>
      <c r="D21" s="5"/>
      <c r="E21" s="5"/>
      <c r="F21" s="5"/>
      <c r="G21" s="5"/>
      <c r="H21" s="5"/>
    </row>
    <row r="22" customFormat="false" ht="30" hidden="false" customHeight="true" outlineLevel="0" collapsed="false">
      <c r="A22" s="2" t="s">
        <v>17</v>
      </c>
      <c r="B22" s="2"/>
      <c r="C22" s="2"/>
      <c r="D22" s="2"/>
      <c r="E22" s="2"/>
      <c r="F22" s="2"/>
      <c r="G22" s="2"/>
      <c r="H22" s="2"/>
    </row>
    <row r="23" customFormat="false" ht="15.75" hidden="false" customHeight="true" outlineLevel="0" collapsed="false">
      <c r="A23" s="2"/>
      <c r="B23" s="2"/>
      <c r="C23" s="2"/>
      <c r="D23" s="2"/>
      <c r="E23" s="2"/>
      <c r="F23" s="2"/>
      <c r="G23" s="2"/>
      <c r="H23" s="2"/>
    </row>
    <row r="24" customFormat="false" ht="27.75" hidden="false" customHeight="true" outlineLevel="0" collapsed="false">
      <c r="A24" s="3" t="s">
        <v>18</v>
      </c>
      <c r="B24" s="3"/>
      <c r="C24" s="3"/>
      <c r="D24" s="3"/>
      <c r="E24" s="3"/>
      <c r="F24" s="3"/>
      <c r="G24" s="3"/>
      <c r="H24" s="3"/>
    </row>
    <row r="25" customFormat="false" ht="60" hidden="false" customHeight="true" outlineLevel="0" collapsed="false">
      <c r="A25" s="2" t="s">
        <v>19</v>
      </c>
      <c r="B25" s="2"/>
      <c r="C25" s="2"/>
      <c r="D25" s="2"/>
      <c r="E25" s="2"/>
      <c r="F25" s="2"/>
      <c r="G25" s="2"/>
      <c r="H25" s="2"/>
    </row>
  </sheetData>
  <mergeCells count="25">
    <mergeCell ref="A1:H1"/>
    <mergeCell ref="A2:H2"/>
    <mergeCell ref="A3:H3"/>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0" topLeftCell="A2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3"/>
    <col collapsed="false" customWidth="true" hidden="false" outlineLevel="0" max="9" min="8" style="0" width="11"/>
    <col collapsed="false" customWidth="true" hidden="false" outlineLevel="0" max="11" min="10" style="0" width="12"/>
    <col collapsed="false" customWidth="true" hidden="false" outlineLevel="0" max="12" min="12" style="0" width="14"/>
  </cols>
  <sheetData>
    <row r="1" customFormat="false" ht="25.5" hidden="false" customHeight="true" outlineLevel="0" collapsed="false">
      <c r="A1" s="6" t="s">
        <v>20</v>
      </c>
      <c r="B1" s="6"/>
      <c r="C1" s="6"/>
      <c r="D1" s="6"/>
      <c r="E1" s="6"/>
      <c r="F1" s="6"/>
      <c r="G1" s="6"/>
      <c r="H1" s="6"/>
      <c r="I1" s="6"/>
      <c r="J1" s="6"/>
      <c r="K1" s="6"/>
      <c r="L1" s="6"/>
    </row>
    <row r="3" customFormat="false" ht="15" hidden="false" customHeight="false" outlineLevel="0" collapsed="false">
      <c r="A3" s="7" t="s">
        <v>21</v>
      </c>
      <c r="B3" s="7"/>
      <c r="C3" s="7"/>
    </row>
    <row r="4" customFormat="false" ht="17.35" hidden="false" customHeight="false" outlineLevel="0" collapsed="false">
      <c r="A4" s="8" t="s">
        <v>22</v>
      </c>
      <c r="B4" s="9"/>
      <c r="C4" s="10" t="n">
        <f aca="false">CORREL($D$21:$D$210,$G$21:$G$210)</f>
        <v>-0.359546660582978</v>
      </c>
    </row>
    <row r="5" customFormat="false" ht="15" hidden="false" customHeight="false" outlineLevel="0" collapsed="false">
      <c r="A5" s="11" t="s">
        <v>23</v>
      </c>
      <c r="C5" s="12" t="n">
        <f aca="false">PEARSON($D$21:$D$210,$G$21:$G$210)</f>
        <v>-0.359546660582978</v>
      </c>
    </row>
    <row r="6" customFormat="false" ht="15" hidden="false" customHeight="false" outlineLevel="0" collapsed="false">
      <c r="A6" s="11" t="s">
        <v>24</v>
      </c>
      <c r="C6" s="12" t="n">
        <f aca="false">L15/SQRT(B15*C15)</f>
        <v>-0.359546660582978</v>
      </c>
    </row>
    <row r="7" customFormat="false" ht="15" hidden="false" customHeight="false" outlineLevel="0" collapsed="false">
      <c r="A7" s="11" t="s">
        <v>25</v>
      </c>
      <c r="C7" s="13" t="n">
        <f aca="false">COUNT($D$21:$D$210)</f>
        <v>190</v>
      </c>
    </row>
    <row r="8" customFormat="false" ht="15" hidden="false" customHeight="false" outlineLevel="0" collapsed="false">
      <c r="A8" s="11" t="s">
        <v>26</v>
      </c>
      <c r="C8" s="14" t="n">
        <f aca="false">C4*SQRT((C7-2)/(1-C4^2))</f>
        <v>-5.28315531231217</v>
      </c>
    </row>
    <row r="9" customFormat="false" ht="15" hidden="false" customHeight="false" outlineLevel="0" collapsed="false">
      <c r="A9" s="11" t="s">
        <v>27</v>
      </c>
      <c r="C9" s="15" t="n">
        <f aca="false">TDIST(ABS(C8),C7-2,2)</f>
        <v>3.49272756109802E-007</v>
      </c>
    </row>
    <row r="11" customFormat="false" ht="15" hidden="false" customHeight="false" outlineLevel="0" collapsed="false">
      <c r="A11" s="11" t="s">
        <v>28</v>
      </c>
      <c r="C11" s="16" t="s">
        <v>29</v>
      </c>
    </row>
    <row r="13" customFormat="false" ht="15" hidden="false" customHeight="false" outlineLevel="0" collapsed="false">
      <c r="A13" s="17" t="s">
        <v>30</v>
      </c>
      <c r="B13" s="18" t="n">
        <f aca="false">AVERAGE($D$21:$D$210)</f>
        <v>444.648263157895</v>
      </c>
    </row>
    <row r="14" customFormat="false" ht="15" hidden="false" customHeight="false" outlineLevel="0" collapsed="false">
      <c r="A14" s="17" t="s">
        <v>31</v>
      </c>
      <c r="B14" s="18" t="n">
        <f aca="false">AVERAGE($G$21:$G$210)</f>
        <v>-432.78752631579</v>
      </c>
    </row>
    <row r="15" customFormat="false" ht="15" hidden="false" customHeight="false" outlineLevel="0" collapsed="false">
      <c r="A15" s="17" t="s">
        <v>32</v>
      </c>
      <c r="B15" s="19" t="n">
        <f aca="false">SUM($J$21:$J$210)</f>
        <v>1574202608.25053</v>
      </c>
      <c r="C15" s="19" t="n">
        <f aca="false">SUM($K$21:$K$210)</f>
        <v>8118636455.62554</v>
      </c>
      <c r="L15" s="19" t="n">
        <f aca="false">SUM($L$21:$L$210)</f>
        <v>-1285366925.21158</v>
      </c>
    </row>
    <row r="20" customFormat="false" ht="31.5" hidden="false" customHeight="true" outlineLevel="0" collapsed="false">
      <c r="A20" s="20" t="s">
        <v>33</v>
      </c>
      <c r="B20" s="20" t="s">
        <v>34</v>
      </c>
      <c r="C20" s="20" t="s">
        <v>35</v>
      </c>
      <c r="D20" s="20" t="s">
        <v>36</v>
      </c>
      <c r="E20" s="20" t="s">
        <v>37</v>
      </c>
      <c r="F20" s="20" t="s">
        <v>38</v>
      </c>
      <c r="G20" s="20" t="s">
        <v>39</v>
      </c>
      <c r="H20" s="20" t="s">
        <v>40</v>
      </c>
      <c r="I20" s="20" t="s">
        <v>41</v>
      </c>
      <c r="J20" s="20" t="s">
        <v>42</v>
      </c>
      <c r="K20" s="20" t="s">
        <v>43</v>
      </c>
      <c r="L20" s="20" t="s">
        <v>44</v>
      </c>
    </row>
    <row r="21" customFormat="false" ht="15" hidden="false" customHeight="false" outlineLevel="0" collapsed="false">
      <c r="A21" s="21" t="s">
        <v>45</v>
      </c>
      <c r="B21" s="22" t="n">
        <v>7794</v>
      </c>
      <c r="C21" s="22" t="n">
        <v>8116</v>
      </c>
      <c r="D21" s="22" t="n">
        <f aca="false">C21-B21</f>
        <v>322</v>
      </c>
      <c r="E21" s="22" t="n">
        <v>1209.44</v>
      </c>
      <c r="F21" s="22" t="n">
        <v>1209.44</v>
      </c>
      <c r="G21" s="22" t="n">
        <f aca="false">F21-E21</f>
        <v>0</v>
      </c>
      <c r="H21" s="22" t="n">
        <f aca="false">D21-$B$13</f>
        <v>-122.648263157895</v>
      </c>
      <c r="I21" s="22" t="n">
        <f aca="false">G21-$B$14</f>
        <v>432.78752631579</v>
      </c>
      <c r="J21" s="23" t="n">
        <f aca="false">H21^2</f>
        <v>15042.5964556482</v>
      </c>
      <c r="K21" s="23" t="n">
        <f aca="false">I21^2</f>
        <v>187305.042934541</v>
      </c>
      <c r="L21" s="23" t="n">
        <f aca="false">H21*I21</f>
        <v>-53080.6384190333</v>
      </c>
    </row>
    <row r="22" customFormat="false" ht="15" hidden="false" customHeight="false" outlineLevel="0" collapsed="false">
      <c r="A22" s="21" t="s">
        <v>46</v>
      </c>
      <c r="B22" s="22" t="n">
        <v>699</v>
      </c>
      <c r="C22" s="22" t="n">
        <v>678.5</v>
      </c>
      <c r="D22" s="22" t="n">
        <f aca="false">C22-B22</f>
        <v>-20.5</v>
      </c>
      <c r="E22" s="22" t="n">
        <v>769.3</v>
      </c>
      <c r="F22" s="22" t="n">
        <v>941</v>
      </c>
      <c r="G22" s="22" t="n">
        <f aca="false">F22-E22</f>
        <v>171.7</v>
      </c>
      <c r="H22" s="22" t="n">
        <f aca="false">D22-$B$13</f>
        <v>-465.148263157895</v>
      </c>
      <c r="I22" s="22" t="n">
        <f aca="false">G22-$B$14</f>
        <v>604.48752631579</v>
      </c>
      <c r="J22" s="23" t="n">
        <f aca="false">H22^2</f>
        <v>216362.906718806</v>
      </c>
      <c r="K22" s="23" t="n">
        <f aca="false">I22^2</f>
        <v>365405.169471383</v>
      </c>
      <c r="L22" s="23" t="n">
        <f aca="false">H22*I22</f>
        <v>-281176.322966402</v>
      </c>
    </row>
    <row r="23" customFormat="false" ht="15" hidden="false" customHeight="false" outlineLevel="0" collapsed="false">
      <c r="A23" s="21" t="s">
        <v>47</v>
      </c>
      <c r="B23" s="22" t="n">
        <v>8192</v>
      </c>
      <c r="C23" s="22" t="n">
        <v>8537.51</v>
      </c>
      <c r="D23" s="22" t="n">
        <f aca="false">C23-B23</f>
        <v>345.51</v>
      </c>
      <c r="E23" s="22" t="n">
        <v>1708.22</v>
      </c>
      <c r="F23" s="22" t="n">
        <v>1692.71</v>
      </c>
      <c r="G23" s="22" t="n">
        <f aca="false">F23-E23</f>
        <v>-15.51</v>
      </c>
      <c r="H23" s="22" t="n">
        <f aca="false">D23-$B$13</f>
        <v>-99.1382631578945</v>
      </c>
      <c r="I23" s="22" t="n">
        <f aca="false">G23-$B$14</f>
        <v>417.27752631579</v>
      </c>
      <c r="J23" s="23" t="n">
        <f aca="false">H23^2</f>
        <v>9828.39522196395</v>
      </c>
      <c r="K23" s="23" t="n">
        <f aca="false">I23^2</f>
        <v>174120.533968225</v>
      </c>
      <c r="L23" s="23" t="n">
        <f aca="false">H23*I23</f>
        <v>-41368.16921377</v>
      </c>
    </row>
    <row r="24" customFormat="false" ht="15" hidden="false" customHeight="false" outlineLevel="0" collapsed="false">
      <c r="A24" s="21" t="s">
        <v>48</v>
      </c>
      <c r="B24" s="22" t="n">
        <v>3200</v>
      </c>
      <c r="C24" s="22" t="n">
        <v>4917.68</v>
      </c>
      <c r="D24" s="22" t="n">
        <f aca="false">C24-B24</f>
        <v>1717.68</v>
      </c>
      <c r="E24" s="22" t="n">
        <v>76013.08</v>
      </c>
      <c r="F24" s="22" t="n">
        <v>64282.39</v>
      </c>
      <c r="G24" s="22" t="n">
        <f aca="false">F24-E24</f>
        <v>-11730.69</v>
      </c>
      <c r="H24" s="22" t="n">
        <f aca="false">D24-$B$13</f>
        <v>1273.03173684211</v>
      </c>
      <c r="I24" s="22" t="n">
        <f aca="false">G24-$B$14</f>
        <v>-11297.9024736842</v>
      </c>
      <c r="J24" s="23" t="n">
        <f aca="false">H24^2</f>
        <v>1620609.80300723</v>
      </c>
      <c r="K24" s="23" t="n">
        <f aca="false">I24^2</f>
        <v>127642600.30488</v>
      </c>
      <c r="L24" s="23" t="n">
        <f aca="false">H24*I24</f>
        <v>-14382588.4087469</v>
      </c>
    </row>
    <row r="25" customFormat="false" ht="15" hidden="false" customHeight="false" outlineLevel="0" collapsed="false">
      <c r="A25" s="21" t="s">
        <v>49</v>
      </c>
      <c r="B25" s="22" t="n">
        <v>5.3</v>
      </c>
      <c r="C25" s="22" t="n">
        <v>5.3</v>
      </c>
      <c r="D25" s="22" t="n">
        <f aca="false">C25-B25</f>
        <v>0</v>
      </c>
      <c r="E25" s="22" t="n">
        <v>9.45</v>
      </c>
      <c r="F25" s="22" t="n">
        <v>7.92</v>
      </c>
      <c r="G25" s="22" t="n">
        <f aca="false">F25-E25</f>
        <v>-1.53</v>
      </c>
      <c r="H25" s="22" t="n">
        <f aca="false">D25-$B$13</f>
        <v>-444.648263157895</v>
      </c>
      <c r="I25" s="22" t="n">
        <f aca="false">G25-$B$14</f>
        <v>431.25752631579</v>
      </c>
      <c r="J25" s="23" t="n">
        <f aca="false">H25^2</f>
        <v>197712.077929332</v>
      </c>
      <c r="K25" s="23" t="n">
        <f aca="false">I25^2</f>
        <v>185983.054004014</v>
      </c>
      <c r="L25" s="23" t="n">
        <f aca="false">H25*I25</f>
        <v>-191757.910050086</v>
      </c>
    </row>
    <row r="26" customFormat="false" ht="15" hidden="false" customHeight="false" outlineLevel="0" collapsed="false">
      <c r="A26" s="21" t="s">
        <v>50</v>
      </c>
      <c r="B26" s="22" t="n">
        <v>28652</v>
      </c>
      <c r="C26" s="22" t="n">
        <v>48290.68</v>
      </c>
      <c r="D26" s="22" t="n">
        <f aca="false">C26-B26</f>
        <v>19638.68</v>
      </c>
      <c r="E26" s="22" t="n">
        <v>53442.22</v>
      </c>
      <c r="F26" s="22" t="n">
        <v>46957.04</v>
      </c>
      <c r="G26" s="22" t="n">
        <f aca="false">F26-E26</f>
        <v>-6485.18</v>
      </c>
      <c r="H26" s="22" t="n">
        <f aca="false">D26-$B$13</f>
        <v>19194.0317368421</v>
      </c>
      <c r="I26" s="22" t="n">
        <f aca="false">G26-$B$14</f>
        <v>-6052.39247368421</v>
      </c>
      <c r="J26" s="23" t="n">
        <f aca="false">H26^2</f>
        <v>368410854.314902</v>
      </c>
      <c r="K26" s="23" t="n">
        <f aca="false">I26^2</f>
        <v>36631454.6555093</v>
      </c>
      <c r="L26" s="23" t="n">
        <f aca="false">H26*I26</f>
        <v>-116169813.223719</v>
      </c>
    </row>
    <row r="27" customFormat="false" ht="15" hidden="false" customHeight="false" outlineLevel="0" collapsed="false">
      <c r="A27" s="21" t="s">
        <v>51</v>
      </c>
      <c r="B27" s="22" t="n">
        <v>488</v>
      </c>
      <c r="C27" s="22" t="n">
        <v>503.4</v>
      </c>
      <c r="D27" s="22" t="n">
        <f aca="false">C27-B27</f>
        <v>15.4</v>
      </c>
      <c r="E27" s="22" t="n">
        <v>332.64</v>
      </c>
      <c r="F27" s="22" t="n">
        <v>334.07</v>
      </c>
      <c r="G27" s="22" t="n">
        <f aca="false">F27-E27</f>
        <v>1.43000000000001</v>
      </c>
      <c r="H27" s="22" t="n">
        <f aca="false">D27-$B$13</f>
        <v>-429.248263157895</v>
      </c>
      <c r="I27" s="22" t="n">
        <f aca="false">G27-$B$14</f>
        <v>434.21752631579</v>
      </c>
      <c r="J27" s="23" t="n">
        <f aca="false">H27^2</f>
        <v>184254.071424069</v>
      </c>
      <c r="K27" s="23" t="n">
        <f aca="false">I27^2</f>
        <v>188544.860159804</v>
      </c>
      <c r="L27" s="23" t="n">
        <f aca="false">H27*I27</f>
        <v>-186387.11900377</v>
      </c>
    </row>
    <row r="28" customFormat="false" ht="15" hidden="false" customHeight="false" outlineLevel="0" collapsed="false">
      <c r="A28" s="21" t="s">
        <v>52</v>
      </c>
      <c r="B28" s="22" t="n">
        <v>23769</v>
      </c>
      <c r="C28" s="22" t="n">
        <v>31650</v>
      </c>
      <c r="D28" s="22" t="n">
        <f aca="false">C28-B28</f>
        <v>7881</v>
      </c>
      <c r="E28" s="22" t="n">
        <v>132907.29</v>
      </c>
      <c r="F28" s="22" t="n">
        <v>133453.41</v>
      </c>
      <c r="G28" s="22" t="n">
        <f aca="false">F28-E28</f>
        <v>546.119999999995</v>
      </c>
      <c r="H28" s="22" t="n">
        <f aca="false">D28-$B$13</f>
        <v>7436.35173684211</v>
      </c>
      <c r="I28" s="22" t="n">
        <f aca="false">G28-$B$14</f>
        <v>978.907526315785</v>
      </c>
      <c r="J28" s="23" t="n">
        <f aca="false">H28^2</f>
        <v>55299327.1540346</v>
      </c>
      <c r="K28" s="23" t="n">
        <f aca="false">I28^2</f>
        <v>958259.94507769</v>
      </c>
      <c r="L28" s="23" t="n">
        <f aca="false">H28*I28</f>
        <v>7279500.6835262</v>
      </c>
    </row>
    <row r="29" customFormat="false" ht="15" hidden="false" customHeight="false" outlineLevel="0" collapsed="false">
      <c r="A29" s="21" t="s">
        <v>53</v>
      </c>
      <c r="B29" s="22" t="n">
        <v>1470</v>
      </c>
      <c r="C29" s="22" t="n">
        <v>1387.28</v>
      </c>
      <c r="D29" s="22" t="n">
        <f aca="false">C29-B29</f>
        <v>-82.72</v>
      </c>
      <c r="E29" s="22" t="n">
        <v>3838.14</v>
      </c>
      <c r="F29" s="22" t="n">
        <v>3898.27</v>
      </c>
      <c r="G29" s="22" t="n">
        <f aca="false">F29-E29</f>
        <v>60.1300000000001</v>
      </c>
      <c r="H29" s="22" t="n">
        <f aca="false">D29-$B$13</f>
        <v>-527.368263157895</v>
      </c>
      <c r="I29" s="22" t="n">
        <f aca="false">G29-$B$14</f>
        <v>492.91752631579</v>
      </c>
      <c r="J29" s="23" t="n">
        <f aca="false">H29^2</f>
        <v>278117.284986175</v>
      </c>
      <c r="K29" s="23" t="n">
        <f aca="false">I29^2</f>
        <v>242967.687749278</v>
      </c>
      <c r="L29" s="23" t="n">
        <f aca="false">H29*I29</f>
        <v>-259949.059733244</v>
      </c>
    </row>
    <row r="30" customFormat="false" ht="15" hidden="false" customHeight="false" outlineLevel="0" collapsed="false">
      <c r="A30" s="21" t="s">
        <v>54</v>
      </c>
      <c r="B30" s="22" t="n">
        <v>2062.4</v>
      </c>
      <c r="C30" s="22" t="n">
        <v>2365.1</v>
      </c>
      <c r="D30" s="22" t="n">
        <f aca="false">C30-B30</f>
        <v>302.7</v>
      </c>
      <c r="E30" s="22" t="n">
        <v>987.22</v>
      </c>
      <c r="F30" s="22" t="n">
        <v>1192.67</v>
      </c>
      <c r="G30" s="22" t="n">
        <f aca="false">F30-E30</f>
        <v>205.45</v>
      </c>
      <c r="H30" s="22" t="n">
        <f aca="false">D30-$B$13</f>
        <v>-141.948263157895</v>
      </c>
      <c r="I30" s="22" t="n">
        <f aca="false">G30-$B$14</f>
        <v>638.23752631579</v>
      </c>
      <c r="J30" s="23" t="n">
        <f aca="false">H30^2</f>
        <v>20149.309413543</v>
      </c>
      <c r="K30" s="23" t="n">
        <f aca="false">I30^2</f>
        <v>407347.139997699</v>
      </c>
      <c r="L30" s="23" t="n">
        <f aca="false">H30*I30</f>
        <v>-90596.7083427176</v>
      </c>
    </row>
    <row r="31" customFormat="false" ht="15" hidden="false" customHeight="false" outlineLevel="0" collapsed="false">
      <c r="A31" s="21" t="s">
        <v>55</v>
      </c>
      <c r="B31" s="22" t="n">
        <v>9</v>
      </c>
      <c r="C31" s="22" t="n">
        <v>11</v>
      </c>
      <c r="D31" s="22" t="n">
        <f aca="false">C31-B31</f>
        <v>2</v>
      </c>
      <c r="E31" s="22" t="n">
        <v>509.86</v>
      </c>
      <c r="F31" s="22" t="n">
        <v>509.86</v>
      </c>
      <c r="G31" s="22" t="n">
        <f aca="false">F31-E31</f>
        <v>0</v>
      </c>
      <c r="H31" s="22" t="n">
        <f aca="false">D31-$B$13</f>
        <v>-442.648263157895</v>
      </c>
      <c r="I31" s="22" t="n">
        <f aca="false">G31-$B$14</f>
        <v>432.78752631579</v>
      </c>
      <c r="J31" s="23" t="n">
        <f aca="false">H31^2</f>
        <v>195937.484876701</v>
      </c>
      <c r="K31" s="23" t="n">
        <f aca="false">I31^2</f>
        <v>187305.042934541</v>
      </c>
      <c r="L31" s="23" t="n">
        <f aca="false">H31*I31</f>
        <v>-191572.646840086</v>
      </c>
    </row>
    <row r="32" customFormat="false" ht="15" hidden="false" customHeight="false" outlineLevel="0" collapsed="false">
      <c r="A32" s="21" t="s">
        <v>56</v>
      </c>
      <c r="B32" s="22" t="n">
        <v>5.9</v>
      </c>
      <c r="C32" s="22" t="n">
        <v>4.23</v>
      </c>
      <c r="D32" s="22" t="n">
        <f aca="false">C32-B32</f>
        <v>-1.67</v>
      </c>
      <c r="E32" s="22" t="n">
        <v>1.37</v>
      </c>
      <c r="F32" s="22" t="n">
        <v>3.41</v>
      </c>
      <c r="G32" s="22" t="n">
        <f aca="false">F32-E32</f>
        <v>2.04</v>
      </c>
      <c r="H32" s="22" t="n">
        <f aca="false">D32-$B$13</f>
        <v>-446.318263157895</v>
      </c>
      <c r="I32" s="22" t="n">
        <f aca="false">G32-$B$14</f>
        <v>434.82752631579</v>
      </c>
      <c r="J32" s="23" t="n">
        <f aca="false">H32^2</f>
        <v>199199.99202828</v>
      </c>
      <c r="K32" s="23" t="n">
        <f aca="false">I32^2</f>
        <v>189074.977641909</v>
      </c>
      <c r="L32" s="23" t="n">
        <f aca="false">H32*I32</f>
        <v>-194071.466318507</v>
      </c>
    </row>
    <row r="33" customFormat="false" ht="15" hidden="false" customHeight="false" outlineLevel="0" collapsed="false">
      <c r="A33" s="21" t="s">
        <v>57</v>
      </c>
      <c r="B33" s="22" t="n">
        <v>8800</v>
      </c>
      <c r="C33" s="22" t="n">
        <v>8799</v>
      </c>
      <c r="D33" s="22" t="n">
        <f aca="false">C33-B33</f>
        <v>-1</v>
      </c>
      <c r="E33" s="22" t="n">
        <v>1920.33</v>
      </c>
      <c r="F33" s="22" t="n">
        <v>1875.4</v>
      </c>
      <c r="G33" s="22" t="n">
        <f aca="false">F33-E33</f>
        <v>-44.9299999999998</v>
      </c>
      <c r="H33" s="22" t="n">
        <f aca="false">D33-$B$13</f>
        <v>-445.648263157895</v>
      </c>
      <c r="I33" s="22" t="n">
        <f aca="false">G33-$B$14</f>
        <v>387.85752631579</v>
      </c>
      <c r="J33" s="23" t="n">
        <f aca="false">H33^2</f>
        <v>198602.374455648</v>
      </c>
      <c r="K33" s="23" t="n">
        <f aca="false">I33^2</f>
        <v>150433.460719804</v>
      </c>
      <c r="L33" s="23" t="n">
        <f aca="false">H33*I33</f>
        <v>-172848.032955349</v>
      </c>
    </row>
    <row r="34" customFormat="false" ht="15" hidden="false" customHeight="false" outlineLevel="0" collapsed="false">
      <c r="A34" s="21" t="s">
        <v>58</v>
      </c>
      <c r="B34" s="22" t="n">
        <v>16</v>
      </c>
      <c r="C34" s="22" t="n">
        <v>8</v>
      </c>
      <c r="D34" s="22" t="n">
        <f aca="false">C34-B34</f>
        <v>-8</v>
      </c>
      <c r="E34" s="22" t="n">
        <v>6.3</v>
      </c>
      <c r="F34" s="22" t="n">
        <v>6.3</v>
      </c>
      <c r="G34" s="22" t="n">
        <f aca="false">F34-E34</f>
        <v>0</v>
      </c>
      <c r="H34" s="22" t="n">
        <f aca="false">D34-$B$13</f>
        <v>-452.648263157895</v>
      </c>
      <c r="I34" s="22" t="n">
        <f aca="false">G34-$B$14</f>
        <v>432.78752631579</v>
      </c>
      <c r="J34" s="23" t="n">
        <f aca="false">H34^2</f>
        <v>204890.450139859</v>
      </c>
      <c r="K34" s="23" t="n">
        <f aca="false">I34^2</f>
        <v>187305.042934541</v>
      </c>
      <c r="L34" s="23" t="n">
        <f aca="false">H34*I34</f>
        <v>-195900.522103244</v>
      </c>
    </row>
    <row r="35" customFormat="false" ht="15" hidden="false" customHeight="false" outlineLevel="0" collapsed="false">
      <c r="A35" s="21" t="s">
        <v>59</v>
      </c>
      <c r="B35" s="22" t="n">
        <v>6257</v>
      </c>
      <c r="C35" s="22" t="n">
        <v>5653.3</v>
      </c>
      <c r="D35" s="22" t="n">
        <f aca="false">C35-B35</f>
        <v>-603.7</v>
      </c>
      <c r="E35" s="22" t="n">
        <v>8273</v>
      </c>
      <c r="F35" s="22" t="n">
        <v>8922.46</v>
      </c>
      <c r="G35" s="22" t="n">
        <f aca="false">F35-E35</f>
        <v>649.459999999999</v>
      </c>
      <c r="H35" s="22" t="n">
        <f aca="false">D35-$B$13</f>
        <v>-1048.34826315789</v>
      </c>
      <c r="I35" s="22" t="n">
        <f aca="false">G35-$B$14</f>
        <v>1082.24752631579</v>
      </c>
      <c r="J35" s="23" t="n">
        <f aca="false">H35^2</f>
        <v>1099034.08086617</v>
      </c>
      <c r="K35" s="23" t="n">
        <f aca="false">I35^2</f>
        <v>1171259.70821664</v>
      </c>
      <c r="L35" s="23" t="n">
        <f aca="false">H35*I35</f>
        <v>-1134572.31452009</v>
      </c>
    </row>
    <row r="36" customFormat="false" ht="15" hidden="false" customHeight="false" outlineLevel="0" collapsed="false">
      <c r="A36" s="21" t="s">
        <v>60</v>
      </c>
      <c r="B36" s="22" t="n">
        <v>882.6</v>
      </c>
      <c r="C36" s="22" t="n">
        <v>886.36</v>
      </c>
      <c r="D36" s="22" t="n">
        <f aca="false">C36-B36</f>
        <v>3.75999999999999</v>
      </c>
      <c r="E36" s="22" t="n">
        <v>667.3</v>
      </c>
      <c r="F36" s="22" t="n">
        <v>670.52</v>
      </c>
      <c r="G36" s="22" t="n">
        <f aca="false">F36-E36</f>
        <v>3.22000000000003</v>
      </c>
      <c r="H36" s="22" t="n">
        <f aca="false">D36-$B$13</f>
        <v>-440.888263157895</v>
      </c>
      <c r="I36" s="22" t="n">
        <f aca="false">G36-$B$14</f>
        <v>436.00752631579</v>
      </c>
      <c r="J36" s="23" t="n">
        <f aca="false">H36^2</f>
        <v>194382.460590385</v>
      </c>
      <c r="K36" s="23" t="n">
        <f aca="false">I36^2</f>
        <v>190102.563004014</v>
      </c>
      <c r="L36" s="23" t="n">
        <f aca="false">H36*I36</f>
        <v>-192230.601001139</v>
      </c>
    </row>
    <row r="37" customFormat="false" ht="15" hidden="false" customHeight="false" outlineLevel="0" collapsed="false">
      <c r="A37" s="21" t="s">
        <v>61</v>
      </c>
      <c r="B37" s="22" t="n">
        <v>99</v>
      </c>
      <c r="C37" s="22" t="n">
        <v>132</v>
      </c>
      <c r="D37" s="22" t="n">
        <f aca="false">C37-B37</f>
        <v>33</v>
      </c>
      <c r="E37" s="22" t="n">
        <v>1503.93</v>
      </c>
      <c r="F37" s="22" t="n">
        <v>1330.11</v>
      </c>
      <c r="G37" s="22" t="n">
        <f aca="false">F37-E37</f>
        <v>-173.82</v>
      </c>
      <c r="H37" s="22" t="n">
        <f aca="false">D37-$B$13</f>
        <v>-411.648263157895</v>
      </c>
      <c r="I37" s="22" t="n">
        <f aca="false">G37-$B$14</f>
        <v>258.96752631579</v>
      </c>
      <c r="J37" s="23" t="n">
        <f aca="false">H37^2</f>
        <v>169454.292560911</v>
      </c>
      <c r="K37" s="23" t="n">
        <f aca="false">I37^2</f>
        <v>67064.1796861193</v>
      </c>
      <c r="L37" s="23" t="n">
        <f aca="false">H37*I37</f>
        <v>-106603.532422191</v>
      </c>
    </row>
    <row r="38" customFormat="false" ht="15" hidden="false" customHeight="false" outlineLevel="0" collapsed="false">
      <c r="A38" s="21" t="s">
        <v>62</v>
      </c>
      <c r="B38" s="22" t="n">
        <v>2641.88</v>
      </c>
      <c r="C38" s="22" t="n">
        <v>4269.71</v>
      </c>
      <c r="D38" s="22" t="n">
        <f aca="false">C38-B38</f>
        <v>1627.83</v>
      </c>
      <c r="E38" s="22" t="n">
        <v>5674.27</v>
      </c>
      <c r="F38" s="22" t="n">
        <v>3208.03</v>
      </c>
      <c r="G38" s="22" t="n">
        <f aca="false">F38-E38</f>
        <v>-2466.24</v>
      </c>
      <c r="H38" s="22" t="n">
        <f aca="false">D38-$B$13</f>
        <v>1183.18173684211</v>
      </c>
      <c r="I38" s="22" t="n">
        <f aca="false">G38-$B$14</f>
        <v>-2033.45247368421</v>
      </c>
      <c r="J38" s="23" t="n">
        <f aca="false">H38^2</f>
        <v>1399919.0223967</v>
      </c>
      <c r="K38" s="23" t="n">
        <f aca="false">I38^2</f>
        <v>4134928.96273243</v>
      </c>
      <c r="L38" s="23" t="n">
        <f aca="false">H38*I38</f>
        <v>-2405943.82959956</v>
      </c>
    </row>
    <row r="39" customFormat="false" ht="15" hidden="false" customHeight="false" outlineLevel="0" collapsed="false">
      <c r="A39" s="21" t="s">
        <v>63</v>
      </c>
      <c r="B39" s="22" t="n">
        <v>173</v>
      </c>
      <c r="C39" s="22" t="n">
        <v>114</v>
      </c>
      <c r="D39" s="22" t="n">
        <f aca="false">C39-B39</f>
        <v>-59</v>
      </c>
      <c r="E39" s="22" t="n">
        <v>2606</v>
      </c>
      <c r="F39" s="22" t="n">
        <v>2691.71</v>
      </c>
      <c r="G39" s="22" t="n">
        <f aca="false">F39-E39</f>
        <v>85.71</v>
      </c>
      <c r="H39" s="22" t="n">
        <f aca="false">D39-$B$13</f>
        <v>-503.648263157895</v>
      </c>
      <c r="I39" s="22" t="n">
        <f aca="false">G39-$B$14</f>
        <v>518.49752631579</v>
      </c>
      <c r="J39" s="23" t="n">
        <f aca="false">H39^2</f>
        <v>253661.572981964</v>
      </c>
      <c r="K39" s="23" t="n">
        <f aca="false">I39^2</f>
        <v>268839.684795593</v>
      </c>
      <c r="L39" s="23" t="n">
        <f aca="false">H39*I39</f>
        <v>-261140.378580612</v>
      </c>
    </row>
    <row r="40" customFormat="false" ht="15" hidden="false" customHeight="false" outlineLevel="0" collapsed="false">
      <c r="A40" s="21" t="s">
        <v>64</v>
      </c>
      <c r="B40" s="22" t="n">
        <v>3471.74</v>
      </c>
      <c r="C40" s="22" t="n">
        <v>6227.43</v>
      </c>
      <c r="D40" s="22" t="n">
        <f aca="false">C40-B40</f>
        <v>2755.69</v>
      </c>
      <c r="E40" s="22" t="n">
        <v>59085.97</v>
      </c>
      <c r="F40" s="22" t="n">
        <v>54849.79</v>
      </c>
      <c r="G40" s="22" t="n">
        <f aca="false">F40-E40</f>
        <v>-4236.18</v>
      </c>
      <c r="H40" s="22" t="n">
        <f aca="false">D40-$B$13</f>
        <v>2311.04173684211</v>
      </c>
      <c r="I40" s="22" t="n">
        <f aca="false">G40-$B$14</f>
        <v>-3803.39247368421</v>
      </c>
      <c r="J40" s="23" t="n">
        <f aca="false">H40^2</f>
        <v>5340913.90942618</v>
      </c>
      <c r="K40" s="23" t="n">
        <f aca="false">I40^2</f>
        <v>14465794.3088777</v>
      </c>
      <c r="L40" s="23" t="n">
        <f aca="false">H40*I40</f>
        <v>-8789798.74827535</v>
      </c>
    </row>
    <row r="41" customFormat="false" ht="15" hidden="false" customHeight="false" outlineLevel="0" collapsed="false">
      <c r="A41" s="21" t="s">
        <v>65</v>
      </c>
      <c r="B41" s="22" t="n">
        <v>1100</v>
      </c>
      <c r="C41" s="22" t="n">
        <v>444</v>
      </c>
      <c r="D41" s="22" t="n">
        <f aca="false">C41-B41</f>
        <v>-656</v>
      </c>
      <c r="E41" s="22" t="n">
        <v>2111.65</v>
      </c>
      <c r="F41" s="22" t="n">
        <v>2160</v>
      </c>
      <c r="G41" s="22" t="n">
        <f aca="false">F41-E41</f>
        <v>48.3499999999999</v>
      </c>
      <c r="H41" s="22" t="n">
        <f aca="false">D41-$B$13</f>
        <v>-1100.64826315789</v>
      </c>
      <c r="I41" s="22" t="n">
        <f aca="false">G41-$B$14</f>
        <v>481.13752631579</v>
      </c>
      <c r="J41" s="23" t="n">
        <f aca="false">H41^2</f>
        <v>1211426.59919249</v>
      </c>
      <c r="K41" s="23" t="n">
        <f aca="false">I41^2</f>
        <v>231493.319229277</v>
      </c>
      <c r="L41" s="23" t="n">
        <f aca="false">H41*I41</f>
        <v>-529563.18267956</v>
      </c>
    </row>
    <row r="42" customFormat="false" ht="15" hidden="false" customHeight="false" outlineLevel="0" collapsed="false">
      <c r="A42" s="21" t="s">
        <v>66</v>
      </c>
      <c r="B42" s="22" t="n">
        <v>260.29</v>
      </c>
      <c r="C42" s="22" t="n">
        <v>262</v>
      </c>
      <c r="D42" s="22" t="n">
        <f aca="false">C42-B42</f>
        <v>1.70999999999998</v>
      </c>
      <c r="E42" s="22" t="n">
        <v>15727.9</v>
      </c>
      <c r="F42" s="22" t="n">
        <v>15730.2</v>
      </c>
      <c r="G42" s="22" t="n">
        <f aca="false">F42-E42</f>
        <v>2.30000000000109</v>
      </c>
      <c r="H42" s="22" t="n">
        <f aca="false">D42-$B$13</f>
        <v>-442.938263157895</v>
      </c>
      <c r="I42" s="22" t="n">
        <f aca="false">G42-$B$14</f>
        <v>435.087526315791</v>
      </c>
      <c r="J42" s="23" t="n">
        <f aca="false">H42^2</f>
        <v>196194.304969332</v>
      </c>
      <c r="K42" s="23" t="n">
        <f aca="false">I42^2</f>
        <v>189301.155555594</v>
      </c>
      <c r="L42" s="23" t="n">
        <f aca="false">H42*I42</f>
        <v>-192716.913227981</v>
      </c>
    </row>
    <row r="43" customFormat="false" ht="15" hidden="false" customHeight="false" outlineLevel="0" collapsed="false">
      <c r="A43" s="24" t="s">
        <v>67</v>
      </c>
      <c r="B43" s="25" t="n">
        <v>54870</v>
      </c>
      <c r="C43" s="25" t="n">
        <v>63564.59</v>
      </c>
      <c r="D43" s="25" t="n">
        <f aca="false">C43-B43</f>
        <v>8694.59</v>
      </c>
      <c r="E43" s="25" t="n">
        <v>560720.37</v>
      </c>
      <c r="F43" s="25" t="n">
        <v>492598.74</v>
      </c>
      <c r="G43" s="25" t="n">
        <f aca="false">F43-E43</f>
        <v>-68121.63</v>
      </c>
      <c r="H43" s="25" t="n">
        <f aca="false">D43-$B$13</f>
        <v>8249.9417368421</v>
      </c>
      <c r="I43" s="25" t="n">
        <f aca="false">G43-$B$14</f>
        <v>-67688.8424736842</v>
      </c>
      <c r="J43" s="26" t="n">
        <f aca="false">H43^2</f>
        <v>68061538.6612893</v>
      </c>
      <c r="K43" s="26" t="n">
        <f aca="false">I43^2</f>
        <v>4581779395.42724</v>
      </c>
      <c r="L43" s="26" t="n">
        <f aca="false">H43*I43</f>
        <v>-558429006.642178</v>
      </c>
    </row>
    <row r="44" customFormat="false" ht="15" hidden="false" customHeight="false" outlineLevel="0" collapsed="false">
      <c r="A44" s="21" t="s">
        <v>68</v>
      </c>
      <c r="B44" s="22" t="n">
        <v>8</v>
      </c>
      <c r="C44" s="22" t="n">
        <v>11.9</v>
      </c>
      <c r="D44" s="22" t="n">
        <f aca="false">C44-B44</f>
        <v>3.9</v>
      </c>
      <c r="E44" s="22" t="n">
        <v>397</v>
      </c>
      <c r="F44" s="22" t="n">
        <v>380</v>
      </c>
      <c r="G44" s="22" t="n">
        <f aca="false">F44-E44</f>
        <v>-17</v>
      </c>
      <c r="H44" s="22" t="n">
        <f aca="false">D44-$B$13</f>
        <v>-440.748263157895</v>
      </c>
      <c r="I44" s="22" t="n">
        <f aca="false">G44-$B$14</f>
        <v>415.78752631579</v>
      </c>
      <c r="J44" s="23" t="n">
        <f aca="false">H44^2</f>
        <v>194259.031476701</v>
      </c>
      <c r="K44" s="23" t="n">
        <f aca="false">I44^2</f>
        <v>172879.267039804</v>
      </c>
      <c r="L44" s="23" t="n">
        <f aca="false">H44*I44</f>
        <v>-183257.630066402</v>
      </c>
    </row>
    <row r="45" customFormat="false" ht="15" hidden="false" customHeight="false" outlineLevel="0" collapsed="false">
      <c r="A45" s="21" t="s">
        <v>69</v>
      </c>
      <c r="B45" s="22" t="n">
        <v>3778</v>
      </c>
      <c r="C45" s="22" t="n">
        <v>3622.58</v>
      </c>
      <c r="D45" s="22" t="n">
        <f aca="false">C45-B45</f>
        <v>-155.42</v>
      </c>
      <c r="E45" s="22" t="n">
        <v>3375</v>
      </c>
      <c r="F45" s="22" t="n">
        <v>3933.8</v>
      </c>
      <c r="G45" s="22" t="n">
        <f aca="false">F45-E45</f>
        <v>558.8</v>
      </c>
      <c r="H45" s="22" t="n">
        <f aca="false">D45-$B$13</f>
        <v>-600.068263157895</v>
      </c>
      <c r="I45" s="22" t="n">
        <f aca="false">G45-$B$14</f>
        <v>991.58752631579</v>
      </c>
      <c r="J45" s="23" t="n">
        <f aca="false">H45^2</f>
        <v>360081.920449332</v>
      </c>
      <c r="K45" s="23" t="n">
        <f aca="false">I45^2</f>
        <v>983245.822345068</v>
      </c>
      <c r="L45" s="23" t="n">
        <f aca="false">H45*I45</f>
        <v>-595020.20468535</v>
      </c>
    </row>
    <row r="46" customFormat="false" ht="15" hidden="false" customHeight="false" outlineLevel="0" collapsed="false">
      <c r="A46" s="21" t="s">
        <v>70</v>
      </c>
      <c r="B46" s="22" t="n">
        <v>5211.43</v>
      </c>
      <c r="C46" s="22" t="n">
        <v>8596.34</v>
      </c>
      <c r="D46" s="22" t="n">
        <f aca="false">C46-B46</f>
        <v>3384.91</v>
      </c>
      <c r="E46" s="22" t="n">
        <v>6377.97</v>
      </c>
      <c r="F46" s="22" t="n">
        <v>3476.69</v>
      </c>
      <c r="G46" s="22" t="n">
        <f aca="false">F46-E46</f>
        <v>-2901.28</v>
      </c>
      <c r="H46" s="22" t="n">
        <f aca="false">D46-$B$13</f>
        <v>2940.26173684211</v>
      </c>
      <c r="I46" s="22" t="n">
        <f aca="false">G46-$B$14</f>
        <v>-2468.49247368421</v>
      </c>
      <c r="J46" s="23" t="n">
        <f aca="false">H46^2</f>
        <v>8645139.08113775</v>
      </c>
      <c r="K46" s="23" t="n">
        <f aca="false">I46^2</f>
        <v>6093455.09263559</v>
      </c>
      <c r="L46" s="23" t="n">
        <f aca="false">H46*I46</f>
        <v>-7258013.9680564</v>
      </c>
    </row>
    <row r="47" customFormat="false" ht="15" hidden="false" customHeight="false" outlineLevel="0" collapsed="false">
      <c r="A47" s="21" t="s">
        <v>71</v>
      </c>
      <c r="B47" s="22" t="n">
        <v>1322.46</v>
      </c>
      <c r="C47" s="22" t="n">
        <v>1486.81</v>
      </c>
      <c r="D47" s="22" t="n">
        <f aca="false">C47-B47</f>
        <v>164.35</v>
      </c>
      <c r="E47" s="22" t="n">
        <v>193.94</v>
      </c>
      <c r="F47" s="22" t="n">
        <v>279.64</v>
      </c>
      <c r="G47" s="22" t="n">
        <f aca="false">F47-E47</f>
        <v>85.7</v>
      </c>
      <c r="H47" s="22" t="n">
        <f aca="false">D47-$B$13</f>
        <v>-280.298263157895</v>
      </c>
      <c r="I47" s="22" t="n">
        <f aca="false">G47-$B$14</f>
        <v>518.48752631579</v>
      </c>
      <c r="J47" s="23" t="n">
        <f aca="false">H47^2</f>
        <v>78567.1163293325</v>
      </c>
      <c r="K47" s="23" t="n">
        <f aca="false">I47^2</f>
        <v>268829.314945067</v>
      </c>
      <c r="L47" s="23" t="n">
        <f aca="false">H47*I47</f>
        <v>-145331.153095349</v>
      </c>
    </row>
    <row r="48" customFormat="false" ht="15" hidden="false" customHeight="false" outlineLevel="0" collapsed="false">
      <c r="A48" s="21" t="s">
        <v>72</v>
      </c>
      <c r="B48" s="22" t="n">
        <v>67.21</v>
      </c>
      <c r="C48" s="22" t="n">
        <v>75.1</v>
      </c>
      <c r="D48" s="22" t="n">
        <f aca="false">C48-B48</f>
        <v>7.89</v>
      </c>
      <c r="E48" s="22" t="n">
        <v>37.9</v>
      </c>
      <c r="F48" s="22" t="n">
        <v>49.82</v>
      </c>
      <c r="G48" s="22" t="n">
        <f aca="false">F48-E48</f>
        <v>11.92</v>
      </c>
      <c r="H48" s="22" t="n">
        <f aca="false">D48-$B$13</f>
        <v>-436.758263157895</v>
      </c>
      <c r="I48" s="22" t="n">
        <f aca="false">G48-$B$14</f>
        <v>444.70752631579</v>
      </c>
      <c r="J48" s="23" t="n">
        <f aca="false">H48^2</f>
        <v>190757.780436701</v>
      </c>
      <c r="K48" s="23" t="n">
        <f aca="false">I48^2</f>
        <v>197764.783961909</v>
      </c>
      <c r="L48" s="23" t="n">
        <f aca="false">H48*I48</f>
        <v>-194229.686806928</v>
      </c>
    </row>
    <row r="49" customFormat="false" ht="15" hidden="false" customHeight="false" outlineLevel="0" collapsed="false">
      <c r="A49" s="21" t="s">
        <v>73</v>
      </c>
      <c r="B49" s="22" t="n">
        <v>3836.6</v>
      </c>
      <c r="C49" s="22" t="n">
        <v>4621.51</v>
      </c>
      <c r="D49" s="22" t="n">
        <f aca="false">C49-B49</f>
        <v>784.91</v>
      </c>
      <c r="E49" s="22" t="n">
        <v>10781</v>
      </c>
      <c r="F49" s="22" t="n">
        <v>6950.64</v>
      </c>
      <c r="G49" s="22" t="n">
        <f aca="false">F49-E49</f>
        <v>-3830.36</v>
      </c>
      <c r="H49" s="22" t="n">
        <f aca="false">D49-$B$13</f>
        <v>340.261736842106</v>
      </c>
      <c r="I49" s="22" t="n">
        <f aca="false">G49-$B$14</f>
        <v>-3397.57247368421</v>
      </c>
      <c r="J49" s="23" t="n">
        <f aca="false">H49^2</f>
        <v>115778.049558806</v>
      </c>
      <c r="K49" s="23" t="n">
        <f aca="false">I49^2</f>
        <v>11543498.7139366</v>
      </c>
      <c r="L49" s="23" t="n">
        <f aca="false">H49*I49</f>
        <v>-1156063.91094272</v>
      </c>
    </row>
    <row r="50" customFormat="false" ht="15" hidden="false" customHeight="false" outlineLevel="0" collapsed="false">
      <c r="A50" s="21" t="s">
        <v>74</v>
      </c>
      <c r="B50" s="22" t="n">
        <v>7150.5</v>
      </c>
      <c r="C50" s="22" t="n">
        <v>7896.9</v>
      </c>
      <c r="D50" s="22" t="n">
        <f aca="false">C50-B50</f>
        <v>746.4</v>
      </c>
      <c r="E50" s="22" t="n">
        <v>21597.49</v>
      </c>
      <c r="F50" s="22" t="n">
        <v>19377.13</v>
      </c>
      <c r="G50" s="22" t="n">
        <f aca="false">F50-E50</f>
        <v>-2220.36</v>
      </c>
      <c r="H50" s="22" t="n">
        <f aca="false">D50-$B$13</f>
        <v>301.751736842105</v>
      </c>
      <c r="I50" s="22" t="n">
        <f aca="false">G50-$B$14</f>
        <v>-1787.57247368421</v>
      </c>
      <c r="J50" s="23" t="n">
        <f aca="false">H50^2</f>
        <v>91054.1106872269</v>
      </c>
      <c r="K50" s="23" t="n">
        <f aca="false">I50^2</f>
        <v>3195415.34867349</v>
      </c>
      <c r="L50" s="23" t="n">
        <f aca="false">H50*I50</f>
        <v>-539403.098665349</v>
      </c>
    </row>
    <row r="51" customFormat="false" ht="15" hidden="false" customHeight="false" outlineLevel="0" collapsed="false">
      <c r="A51" s="21" t="s">
        <v>75</v>
      </c>
      <c r="B51" s="22" t="n">
        <v>41138</v>
      </c>
      <c r="C51" s="22" t="n">
        <v>38315</v>
      </c>
      <c r="D51" s="22" t="n">
        <f aca="false">C51-B51</f>
        <v>-2823</v>
      </c>
      <c r="E51" s="22" t="n">
        <v>360305.02</v>
      </c>
      <c r="F51" s="22" t="n">
        <v>368838.48</v>
      </c>
      <c r="G51" s="22" t="n">
        <f aca="false">F51-E51</f>
        <v>8533.45999999996</v>
      </c>
      <c r="H51" s="22" t="n">
        <f aca="false">D51-$B$13</f>
        <v>-3267.64826315789</v>
      </c>
      <c r="I51" s="22" t="n">
        <f aca="false">G51-$B$14</f>
        <v>8966.24752631575</v>
      </c>
      <c r="J51" s="23" t="n">
        <f aca="false">H51^2</f>
        <v>10677525.1717188</v>
      </c>
      <c r="K51" s="23" t="n">
        <f aca="false">I51^2</f>
        <v>80393594.7031633</v>
      </c>
      <c r="L51" s="23" t="n">
        <f aca="false">H51*I51</f>
        <v>-29298543.1564094</v>
      </c>
    </row>
    <row r="52" customFormat="false" ht="15" hidden="false" customHeight="false" outlineLevel="0" collapsed="false">
      <c r="A52" s="21" t="s">
        <v>76</v>
      </c>
      <c r="B52" s="22" t="n">
        <v>1981.41</v>
      </c>
      <c r="C52" s="22" t="n">
        <v>2678.58</v>
      </c>
      <c r="D52" s="22" t="n">
        <f aca="false">C52-B52</f>
        <v>697.17</v>
      </c>
      <c r="E52" s="22" t="n">
        <v>46084.99</v>
      </c>
      <c r="F52" s="22" t="n">
        <v>45187.92</v>
      </c>
      <c r="G52" s="22" t="n">
        <f aca="false">F52-E52</f>
        <v>-897.07</v>
      </c>
      <c r="H52" s="22" t="n">
        <f aca="false">D52-$B$13</f>
        <v>252.521736842105</v>
      </c>
      <c r="I52" s="22" t="n">
        <f aca="false">G52-$B$14</f>
        <v>-464.28247368421</v>
      </c>
      <c r="J52" s="23" t="n">
        <f aca="false">H52^2</f>
        <v>63767.2275777534</v>
      </c>
      <c r="K52" s="23" t="n">
        <f aca="false">I52^2</f>
        <v>215558.215370329</v>
      </c>
      <c r="L52" s="23" t="n">
        <f aca="false">H52*I52</f>
        <v>-117241.416640086</v>
      </c>
    </row>
    <row r="53" customFormat="false" ht="15" hidden="false" customHeight="false" outlineLevel="0" collapsed="false">
      <c r="A53" s="21" t="s">
        <v>77</v>
      </c>
      <c r="B53" s="22" t="n">
        <v>3628.04</v>
      </c>
      <c r="C53" s="22" t="n">
        <v>5337.5</v>
      </c>
      <c r="D53" s="22" t="n">
        <f aca="false">C53-B53</f>
        <v>1709.46</v>
      </c>
      <c r="E53" s="22" t="n">
        <v>6352.74</v>
      </c>
      <c r="F53" s="22" t="n">
        <v>3867.15</v>
      </c>
      <c r="G53" s="22" t="n">
        <f aca="false">F53-E53</f>
        <v>-2485.59</v>
      </c>
      <c r="H53" s="22" t="n">
        <f aca="false">D53-$B$13</f>
        <v>1264.81173684211</v>
      </c>
      <c r="I53" s="22" t="n">
        <f aca="false">G53-$B$14</f>
        <v>-2052.80247368421</v>
      </c>
      <c r="J53" s="23" t="n">
        <f aca="false">H53^2</f>
        <v>1599748.72965354</v>
      </c>
      <c r="K53" s="23" t="n">
        <f aca="false">I53^2</f>
        <v>4213997.99596401</v>
      </c>
      <c r="L53" s="23" t="n">
        <f aca="false">H53*I53</f>
        <v>-2596408.6621343</v>
      </c>
    </row>
    <row r="54" customFormat="false" ht="15" hidden="false" customHeight="false" outlineLevel="0" collapsed="false">
      <c r="A54" s="21" t="s">
        <v>78</v>
      </c>
      <c r="B54" s="22" t="n">
        <v>2166.22</v>
      </c>
      <c r="C54" s="22" t="n">
        <v>1913.9</v>
      </c>
      <c r="D54" s="22" t="n">
        <f aca="false">C54-B54</f>
        <v>-252.32</v>
      </c>
      <c r="E54" s="22" t="n">
        <v>17424.59</v>
      </c>
      <c r="F54" s="22" t="n">
        <v>18171.67</v>
      </c>
      <c r="G54" s="22" t="n">
        <f aca="false">F54-E54</f>
        <v>747.079999999998</v>
      </c>
      <c r="H54" s="22" t="n">
        <f aca="false">D54-$B$13</f>
        <v>-696.968263157894</v>
      </c>
      <c r="I54" s="22" t="n">
        <f aca="false">G54-$B$14</f>
        <v>1179.86752631579</v>
      </c>
      <c r="J54" s="23" t="n">
        <f aca="false">H54^2</f>
        <v>485764.759849332</v>
      </c>
      <c r="K54" s="23" t="n">
        <f aca="false">I54^2</f>
        <v>1392087.37965454</v>
      </c>
      <c r="L54" s="23" t="n">
        <f aca="false">H54*I54</f>
        <v>-822330.220572716</v>
      </c>
    </row>
    <row r="55" customFormat="false" ht="15" hidden="false" customHeight="false" outlineLevel="0" collapsed="false">
      <c r="A55" s="21" t="s">
        <v>79</v>
      </c>
      <c r="B55" s="22" t="n">
        <v>130040</v>
      </c>
      <c r="C55" s="22" t="n">
        <v>128608</v>
      </c>
      <c r="D55" s="22" t="n">
        <f aca="false">C55-B55</f>
        <v>-1432</v>
      </c>
      <c r="E55" s="22" t="n">
        <v>177000.55</v>
      </c>
      <c r="F55" s="22" t="n">
        <v>223931</v>
      </c>
      <c r="G55" s="22" t="n">
        <f aca="false">F55-E55</f>
        <v>46930.45</v>
      </c>
      <c r="H55" s="22" t="n">
        <f aca="false">D55-$B$13</f>
        <v>-1876.64826315789</v>
      </c>
      <c r="I55" s="22" t="n">
        <f aca="false">G55-$B$14</f>
        <v>47363.2375263158</v>
      </c>
      <c r="J55" s="23" t="n">
        <f aca="false">H55^2</f>
        <v>3521808.70361354</v>
      </c>
      <c r="K55" s="23" t="n">
        <f aca="false">I55^2</f>
        <v>2243276268.97421</v>
      </c>
      <c r="L55" s="23" t="n">
        <f aca="false">H55*I55</f>
        <v>-88884137.4412954</v>
      </c>
    </row>
    <row r="56" customFormat="false" ht="15" hidden="false" customHeight="false" outlineLevel="0" collapsed="false">
      <c r="A56" s="21" t="s">
        <v>80</v>
      </c>
      <c r="B56" s="22" t="n">
        <v>4545</v>
      </c>
      <c r="C56" s="22" t="n">
        <v>4995</v>
      </c>
      <c r="D56" s="22" t="n">
        <f aca="false">C56-B56</f>
        <v>450</v>
      </c>
      <c r="E56" s="22" t="n">
        <v>62570.34</v>
      </c>
      <c r="F56" s="22" t="n">
        <v>59723.43</v>
      </c>
      <c r="G56" s="22" t="n">
        <f aca="false">F56-E56</f>
        <v>-2846.91</v>
      </c>
      <c r="H56" s="22" t="n">
        <f aca="false">D56-$B$13</f>
        <v>5.35173684210525</v>
      </c>
      <c r="I56" s="22" t="n">
        <f aca="false">G56-$B$14</f>
        <v>-2414.12247368421</v>
      </c>
      <c r="J56" s="23" t="n">
        <f aca="false">H56^2</f>
        <v>28.6410872271467</v>
      </c>
      <c r="K56" s="23" t="n">
        <f aca="false">I56^2</f>
        <v>5827987.31794715</v>
      </c>
      <c r="L56" s="23" t="n">
        <f aca="false">H56*I56</f>
        <v>-12919.74818377</v>
      </c>
    </row>
    <row r="57" customFormat="false" ht="15" hidden="false" customHeight="false" outlineLevel="0" collapsed="false">
      <c r="A57" s="21" t="s">
        <v>81</v>
      </c>
      <c r="B57" s="22" t="n">
        <v>113</v>
      </c>
      <c r="C57" s="22" t="n">
        <v>133.04</v>
      </c>
      <c r="D57" s="22" t="n">
        <f aca="false">C57-B57</f>
        <v>20.04</v>
      </c>
      <c r="E57" s="22" t="n">
        <v>42.78</v>
      </c>
      <c r="F57" s="22" t="n">
        <v>33.17</v>
      </c>
      <c r="G57" s="22" t="n">
        <f aca="false">F57-E57</f>
        <v>-9.61</v>
      </c>
      <c r="H57" s="22" t="n">
        <f aca="false">D57-$B$13</f>
        <v>-424.608263157895</v>
      </c>
      <c r="I57" s="22" t="n">
        <f aca="false">G57-$B$14</f>
        <v>423.17752631579</v>
      </c>
      <c r="J57" s="23" t="n">
        <f aca="false">H57^2</f>
        <v>180292.177141964</v>
      </c>
      <c r="K57" s="23" t="n">
        <f aca="false">I57^2</f>
        <v>179079.218778751</v>
      </c>
      <c r="L57" s="23" t="n">
        <f aca="false">H57*I57</f>
        <v>-179684.674456402</v>
      </c>
    </row>
    <row r="58" customFormat="false" ht="15" hidden="false" customHeight="false" outlineLevel="0" collapsed="false">
      <c r="A58" s="21" t="s">
        <v>82</v>
      </c>
      <c r="B58" s="22" t="n">
        <v>539.94</v>
      </c>
      <c r="C58" s="22" t="n">
        <v>651.4</v>
      </c>
      <c r="D58" s="22" t="n">
        <f aca="false">C58-B58</f>
        <v>111.46</v>
      </c>
      <c r="E58" s="22" t="n">
        <v>22135</v>
      </c>
      <c r="F58" s="22" t="n">
        <v>21825.8</v>
      </c>
      <c r="G58" s="22" t="n">
        <f aca="false">F58-E58</f>
        <v>-309.200000000001</v>
      </c>
      <c r="H58" s="22" t="n">
        <f aca="false">D58-$B$13</f>
        <v>-333.188263157895</v>
      </c>
      <c r="I58" s="22" t="n">
        <f aca="false">G58-$B$14</f>
        <v>123.587526315789</v>
      </c>
      <c r="J58" s="23" t="n">
        <f aca="false">H58^2</f>
        <v>111014.418706175</v>
      </c>
      <c r="K58" s="23" t="n">
        <f aca="false">I58^2</f>
        <v>15273.8766608559</v>
      </c>
      <c r="L58" s="23" t="n">
        <f aca="false">H58*I58</f>
        <v>-41177.9132411384</v>
      </c>
    </row>
    <row r="59" customFormat="false" ht="15" hidden="false" customHeight="false" outlineLevel="0" collapsed="false">
      <c r="A59" s="21" t="s">
        <v>83</v>
      </c>
      <c r="B59" s="22" t="n">
        <v>4.95</v>
      </c>
      <c r="C59" s="22" t="n">
        <v>3.41</v>
      </c>
      <c r="D59" s="22" t="n">
        <f aca="false">C59-B59</f>
        <v>-1.54</v>
      </c>
      <c r="E59" s="22" t="n">
        <v>15.57</v>
      </c>
      <c r="F59" s="22" t="n">
        <v>15.59</v>
      </c>
      <c r="G59" s="22" t="n">
        <f aca="false">F59-E59</f>
        <v>0.0199999999999996</v>
      </c>
      <c r="H59" s="22" t="n">
        <f aca="false">D59-$B$13</f>
        <v>-446.188263157895</v>
      </c>
      <c r="I59" s="22" t="n">
        <f aca="false">G59-$B$14</f>
        <v>432.80752631579</v>
      </c>
      <c r="J59" s="23" t="n">
        <f aca="false">H59^2</f>
        <v>199083.966179859</v>
      </c>
      <c r="K59" s="23" t="n">
        <f aca="false">I59^2</f>
        <v>187322.354835593</v>
      </c>
      <c r="L59" s="23" t="n">
        <f aca="false">H59*I59</f>
        <v>-193113.638448507</v>
      </c>
    </row>
    <row r="60" customFormat="false" ht="15" hidden="false" customHeight="false" outlineLevel="0" collapsed="false">
      <c r="A60" s="21" t="s">
        <v>84</v>
      </c>
      <c r="B60" s="22" t="n">
        <v>445</v>
      </c>
      <c r="C60" s="22" t="n">
        <v>544.35</v>
      </c>
      <c r="D60" s="22" t="n">
        <f aca="false">C60-B60</f>
        <v>99.35</v>
      </c>
      <c r="E60" s="22" t="n">
        <v>2849.05</v>
      </c>
      <c r="F60" s="22" t="n">
        <v>2982.6</v>
      </c>
      <c r="G60" s="22" t="n">
        <f aca="false">F60-E60</f>
        <v>133.55</v>
      </c>
      <c r="H60" s="22" t="n">
        <f aca="false">D60-$B$13</f>
        <v>-345.298263157895</v>
      </c>
      <c r="I60" s="22" t="n">
        <f aca="false">G60-$B$14</f>
        <v>566.33752631579</v>
      </c>
      <c r="J60" s="23" t="n">
        <f aca="false">H60^2</f>
        <v>119230.890539859</v>
      </c>
      <c r="K60" s="23" t="n">
        <f aca="false">I60^2</f>
        <v>320738.193713488</v>
      </c>
      <c r="L60" s="23" t="n">
        <f aca="false">H60*I60</f>
        <v>-195555.364197981</v>
      </c>
    </row>
    <row r="61" customFormat="false" ht="15" hidden="false" customHeight="false" outlineLevel="0" collapsed="false">
      <c r="A61" s="21" t="s">
        <v>85</v>
      </c>
      <c r="B61" s="22" t="n">
        <v>911</v>
      </c>
      <c r="C61" s="22" t="n">
        <v>947</v>
      </c>
      <c r="D61" s="22" t="n">
        <f aca="false">C61-B61</f>
        <v>36</v>
      </c>
      <c r="E61" s="22" t="n">
        <v>1885</v>
      </c>
      <c r="F61" s="22" t="n">
        <v>1943.56</v>
      </c>
      <c r="G61" s="22" t="n">
        <f aca="false">F61-E61</f>
        <v>58.5599999999999</v>
      </c>
      <c r="H61" s="22" t="n">
        <f aca="false">D61-$B$13</f>
        <v>-408.648263157895</v>
      </c>
      <c r="I61" s="22" t="n">
        <f aca="false">G61-$B$14</f>
        <v>491.34752631579</v>
      </c>
      <c r="J61" s="23" t="n">
        <f aca="false">H61^2</f>
        <v>166993.402981964</v>
      </c>
      <c r="K61" s="23" t="n">
        <f aca="false">I61^2</f>
        <v>241422.391616646</v>
      </c>
      <c r="L61" s="23" t="n">
        <f aca="false">H61*I61</f>
        <v>-200788.313235876</v>
      </c>
    </row>
    <row r="62" customFormat="false" ht="15" hidden="false" customHeight="false" outlineLevel="0" collapsed="false">
      <c r="A62" s="21" t="s">
        <v>86</v>
      </c>
      <c r="B62" s="22" t="n">
        <v>4234.25</v>
      </c>
      <c r="C62" s="22" t="n">
        <v>3561.6</v>
      </c>
      <c r="D62" s="22" t="n">
        <f aca="false">C62-B62</f>
        <v>-672.65</v>
      </c>
      <c r="E62" s="22" t="n">
        <v>2699</v>
      </c>
      <c r="F62" s="22" t="n">
        <v>3618</v>
      </c>
      <c r="G62" s="22" t="n">
        <f aca="false">F62-E62</f>
        <v>919</v>
      </c>
      <c r="H62" s="22" t="n">
        <f aca="false">D62-$B$13</f>
        <v>-1117.29826315789</v>
      </c>
      <c r="I62" s="22" t="n">
        <f aca="false">G62-$B$14</f>
        <v>1351.78752631579</v>
      </c>
      <c r="J62" s="23" t="n">
        <f aca="false">H62^2</f>
        <v>1248355.40885565</v>
      </c>
      <c r="K62" s="23" t="n">
        <f aca="false">I62^2</f>
        <v>1827329.51630296</v>
      </c>
      <c r="L62" s="23" t="n">
        <f aca="false">H62*I62</f>
        <v>-1510349.85531114</v>
      </c>
    </row>
    <row r="63" customFormat="false" ht="15" hidden="false" customHeight="false" outlineLevel="0" collapsed="false">
      <c r="A63" s="21" t="s">
        <v>87</v>
      </c>
      <c r="B63" s="22" t="n">
        <v>140.4</v>
      </c>
      <c r="C63" s="22" t="n">
        <v>122.93</v>
      </c>
      <c r="D63" s="22" t="n">
        <f aca="false">C63-B63</f>
        <v>-17.47</v>
      </c>
      <c r="E63" s="22" t="n">
        <v>171.61</v>
      </c>
      <c r="F63" s="22" t="n">
        <v>172.04</v>
      </c>
      <c r="G63" s="22" t="n">
        <f aca="false">F63-E63</f>
        <v>0.429999999999978</v>
      </c>
      <c r="H63" s="22" t="n">
        <f aca="false">D63-$B$13</f>
        <v>-462.118263157895</v>
      </c>
      <c r="I63" s="22" t="n">
        <f aca="false">G63-$B$14</f>
        <v>433.21752631579</v>
      </c>
      <c r="J63" s="23" t="n">
        <f aca="false">H63^2</f>
        <v>213553.289144069</v>
      </c>
      <c r="K63" s="23" t="n">
        <f aca="false">I63^2</f>
        <v>187677.425107172</v>
      </c>
      <c r="L63" s="23" t="n">
        <f aca="false">H63*I63</f>
        <v>-200197.730830612</v>
      </c>
    </row>
    <row r="64" customFormat="false" ht="15" hidden="false" customHeight="false" outlineLevel="0" collapsed="false">
      <c r="A64" s="21" t="s">
        <v>88</v>
      </c>
      <c r="B64" s="22" t="n">
        <v>3319</v>
      </c>
      <c r="C64" s="22" t="n">
        <v>2566</v>
      </c>
      <c r="D64" s="22" t="n">
        <f aca="false">C64-B64</f>
        <v>-753</v>
      </c>
      <c r="E64" s="22" t="n">
        <v>2865.28</v>
      </c>
      <c r="F64" s="22" t="n">
        <v>2950.28</v>
      </c>
      <c r="G64" s="22" t="n">
        <f aca="false">F64-E64</f>
        <v>85</v>
      </c>
      <c r="H64" s="22" t="n">
        <f aca="false">D64-$B$13</f>
        <v>-1197.64826315789</v>
      </c>
      <c r="I64" s="22" t="n">
        <f aca="false">G64-$B$14</f>
        <v>517.78752631579</v>
      </c>
      <c r="J64" s="23" t="n">
        <f aca="false">H64^2</f>
        <v>1434361.36224512</v>
      </c>
      <c r="K64" s="23" t="n">
        <f aca="false">I64^2</f>
        <v>268103.922408225</v>
      </c>
      <c r="L64" s="23" t="n">
        <f aca="false">H64*I64</f>
        <v>-620127.331576929</v>
      </c>
    </row>
    <row r="65" customFormat="false" ht="15" hidden="false" customHeight="false" outlineLevel="0" collapsed="false">
      <c r="A65" s="21" t="s">
        <v>89</v>
      </c>
      <c r="B65" s="22" t="n">
        <v>6755.61</v>
      </c>
      <c r="C65" s="22" t="n">
        <v>12693.64</v>
      </c>
      <c r="D65" s="22" t="n">
        <f aca="false">C65-B65</f>
        <v>5938.03</v>
      </c>
      <c r="E65" s="22" t="n">
        <v>6162.62</v>
      </c>
      <c r="F65" s="22" t="n">
        <v>3935.77</v>
      </c>
      <c r="G65" s="22" t="n">
        <f aca="false">F65-E65</f>
        <v>-2226.85</v>
      </c>
      <c r="H65" s="22" t="n">
        <f aca="false">D65-$B$13</f>
        <v>5493.38173684211</v>
      </c>
      <c r="I65" s="22" t="n">
        <f aca="false">G65-$B$14</f>
        <v>-1794.06247368421</v>
      </c>
      <c r="J65" s="23" t="n">
        <f aca="false">H65^2</f>
        <v>30177242.9066704</v>
      </c>
      <c r="K65" s="23" t="n">
        <f aca="false">I65^2</f>
        <v>3218660.15948191</v>
      </c>
      <c r="L65" s="23" t="n">
        <f aca="false">H65*I65</f>
        <v>-9855470.02769061</v>
      </c>
    </row>
    <row r="66" customFormat="false" ht="15" hidden="false" customHeight="false" outlineLevel="0" collapsed="false">
      <c r="A66" s="21" t="s">
        <v>90</v>
      </c>
      <c r="B66" s="22" t="n">
        <v>2479.18</v>
      </c>
      <c r="C66" s="22" t="n">
        <v>2546.16</v>
      </c>
      <c r="D66" s="22" t="n">
        <f aca="false">C66-B66</f>
        <v>66.98</v>
      </c>
      <c r="E66" s="22" t="n">
        <v>7455.43</v>
      </c>
      <c r="F66" s="22" t="n">
        <v>7705.22</v>
      </c>
      <c r="G66" s="22" t="n">
        <f aca="false">F66-E66</f>
        <v>249.79</v>
      </c>
      <c r="H66" s="22" t="n">
        <f aca="false">D66-$B$13</f>
        <v>-377.668263157895</v>
      </c>
      <c r="I66" s="22" t="n">
        <f aca="false">G66-$B$14</f>
        <v>682.57752631579</v>
      </c>
      <c r="J66" s="23" t="n">
        <f aca="false">H66^2</f>
        <v>142633.316996701</v>
      </c>
      <c r="K66" s="23" t="n">
        <f aca="false">I66^2</f>
        <v>465912.079431383</v>
      </c>
      <c r="L66" s="23" t="n">
        <f aca="false">H66*I66</f>
        <v>-257787.868834297</v>
      </c>
    </row>
    <row r="67" customFormat="false" ht="15" hidden="false" customHeight="false" outlineLevel="0" collapsed="false">
      <c r="A67" s="21" t="s">
        <v>91</v>
      </c>
      <c r="B67" s="22" t="n">
        <v>7990.01</v>
      </c>
      <c r="C67" s="22" t="n">
        <v>18020.19</v>
      </c>
      <c r="D67" s="22" t="n">
        <f aca="false">C67-B67</f>
        <v>10030.18</v>
      </c>
      <c r="E67" s="22" t="n">
        <v>153790.31</v>
      </c>
      <c r="F67" s="22" t="n">
        <v>139754.83</v>
      </c>
      <c r="G67" s="22" t="n">
        <f aca="false">F67-E67</f>
        <v>-14035.48</v>
      </c>
      <c r="H67" s="22" t="n">
        <f aca="false">D67-$B$13</f>
        <v>9585.5317368421</v>
      </c>
      <c r="I67" s="22" t="n">
        <f aca="false">G67-$B$14</f>
        <v>-13602.6924736842</v>
      </c>
      <c r="J67" s="23" t="n">
        <f aca="false">H67^2</f>
        <v>91882418.6780072</v>
      </c>
      <c r="K67" s="23" t="n">
        <f aca="false">I67^2</f>
        <v>185033242.533625</v>
      </c>
      <c r="L67" s="23" t="n">
        <f aca="false">H67*I67</f>
        <v>-130389040.413003</v>
      </c>
    </row>
    <row r="68" customFormat="false" ht="15" hidden="false" customHeight="false" outlineLevel="0" collapsed="false">
      <c r="A68" s="21" t="s">
        <v>92</v>
      </c>
      <c r="B68" s="22" t="n">
        <v>2289</v>
      </c>
      <c r="C68" s="22" t="n">
        <v>2395</v>
      </c>
      <c r="D68" s="22" t="n">
        <f aca="false">C68-B68</f>
        <v>106</v>
      </c>
      <c r="E68" s="22" t="n">
        <v>571.6</v>
      </c>
      <c r="F68" s="22" t="n">
        <v>638.62</v>
      </c>
      <c r="G68" s="22" t="n">
        <f aca="false">F68-E68</f>
        <v>67.02</v>
      </c>
      <c r="H68" s="22" t="n">
        <f aca="false">D68-$B$13</f>
        <v>-338.648263157895</v>
      </c>
      <c r="I68" s="22" t="n">
        <f aca="false">G68-$B$14</f>
        <v>499.80752631579</v>
      </c>
      <c r="J68" s="23" t="n">
        <f aca="false">H68^2</f>
        <v>114682.646139859</v>
      </c>
      <c r="K68" s="23" t="n">
        <f aca="false">I68^2</f>
        <v>249807.563361909</v>
      </c>
      <c r="L68" s="23" t="n">
        <f aca="false">H68*I68</f>
        <v>-169258.950700086</v>
      </c>
    </row>
    <row r="69" customFormat="false" ht="15" hidden="false" customHeight="false" outlineLevel="0" collapsed="false">
      <c r="A69" s="21" t="s">
        <v>93</v>
      </c>
      <c r="B69" s="22" t="n">
        <v>1.59</v>
      </c>
      <c r="C69" s="22" t="n">
        <v>4.34</v>
      </c>
      <c r="D69" s="22" t="n">
        <f aca="false">C69-B69</f>
        <v>2.75</v>
      </c>
      <c r="E69" s="22" t="n">
        <v>5.6</v>
      </c>
      <c r="F69" s="22" t="n">
        <v>5.91</v>
      </c>
      <c r="G69" s="22" t="n">
        <f aca="false">F69-E69</f>
        <v>0.310000000000001</v>
      </c>
      <c r="H69" s="22" t="n">
        <f aca="false">D69-$B$13</f>
        <v>-441.898263157895</v>
      </c>
      <c r="I69" s="22" t="n">
        <f aca="false">G69-$B$14</f>
        <v>433.09752631579</v>
      </c>
      <c r="J69" s="23" t="n">
        <f aca="false">H69^2</f>
        <v>195274.074981964</v>
      </c>
      <c r="K69" s="23" t="n">
        <f aca="false">I69^2</f>
        <v>187573.467300856</v>
      </c>
      <c r="L69" s="23" t="n">
        <f aca="false">H69*I69</f>
        <v>-191385.044656928</v>
      </c>
    </row>
    <row r="70" customFormat="false" ht="15" hidden="false" customHeight="false" outlineLevel="0" collapsed="false">
      <c r="A70" s="21" t="s">
        <v>94</v>
      </c>
      <c r="B70" s="22" t="n">
        <v>19</v>
      </c>
      <c r="C70" s="22" t="n">
        <v>22.5</v>
      </c>
      <c r="D70" s="22" t="n">
        <f aca="false">C70-B70</f>
        <v>3.5</v>
      </c>
      <c r="E70" s="22" t="n">
        <v>58.55</v>
      </c>
      <c r="F70" s="22" t="n">
        <v>57.44</v>
      </c>
      <c r="G70" s="22" t="n">
        <f aca="false">F70-E70</f>
        <v>-1.11</v>
      </c>
      <c r="H70" s="22" t="n">
        <f aca="false">D70-$B$13</f>
        <v>-441.148263157895</v>
      </c>
      <c r="I70" s="22" t="n">
        <f aca="false">G70-$B$14</f>
        <v>431.67752631579</v>
      </c>
      <c r="J70" s="23" t="n">
        <f aca="false">H70^2</f>
        <v>194611.790087227</v>
      </c>
      <c r="K70" s="23" t="n">
        <f aca="false">I70^2</f>
        <v>186345.48672612</v>
      </c>
      <c r="L70" s="23" t="n">
        <f aca="false">H70*I70</f>
        <v>-190433.790978507</v>
      </c>
    </row>
    <row r="71" customFormat="false" ht="15" hidden="false" customHeight="false" outlineLevel="0" collapsed="false">
      <c r="A71" s="21" t="s">
        <v>95</v>
      </c>
      <c r="B71" s="22" t="n">
        <v>1318</v>
      </c>
      <c r="C71" s="22" t="n">
        <v>1281.75</v>
      </c>
      <c r="D71" s="22" t="n">
        <f aca="false">C71-B71</f>
        <v>-36.25</v>
      </c>
      <c r="E71" s="22" t="n">
        <v>2165.8</v>
      </c>
      <c r="F71" s="22" t="n">
        <v>2244.22</v>
      </c>
      <c r="G71" s="22" t="n">
        <f aca="false">F71-E71</f>
        <v>78.4199999999996</v>
      </c>
      <c r="H71" s="22" t="n">
        <f aca="false">D71-$B$13</f>
        <v>-480.898263157895</v>
      </c>
      <c r="I71" s="22" t="n">
        <f aca="false">G71-$B$14</f>
        <v>511.20752631579</v>
      </c>
      <c r="J71" s="23" t="n">
        <f aca="false">H71^2</f>
        <v>231263.13950828</v>
      </c>
      <c r="K71" s="23" t="n">
        <f aca="false">I71^2</f>
        <v>261333.134961909</v>
      </c>
      <c r="L71" s="23" t="n">
        <f aca="false">H71*I71</f>
        <v>-245838.811518507</v>
      </c>
    </row>
    <row r="72" customFormat="false" ht="15" hidden="false" customHeight="false" outlineLevel="0" collapsed="false">
      <c r="A72" s="21" t="s">
        <v>96</v>
      </c>
      <c r="B72" s="22" t="n">
        <v>2979</v>
      </c>
      <c r="C72" s="22" t="n">
        <v>2409</v>
      </c>
      <c r="D72" s="22" t="n">
        <f aca="false">C72-B72</f>
        <v>-570</v>
      </c>
      <c r="E72" s="22" t="n">
        <v>13730.5</v>
      </c>
      <c r="F72" s="22" t="n">
        <v>12370.63</v>
      </c>
      <c r="G72" s="22" t="n">
        <f aca="false">F72-E72</f>
        <v>-1359.87</v>
      </c>
      <c r="H72" s="22" t="n">
        <f aca="false">D72-$B$13</f>
        <v>-1014.64826315789</v>
      </c>
      <c r="I72" s="22" t="n">
        <f aca="false">G72-$B$14</f>
        <v>-927.082473684211</v>
      </c>
      <c r="J72" s="23" t="n">
        <f aca="false">H72^2</f>
        <v>1029511.09792933</v>
      </c>
      <c r="K72" s="23" t="n">
        <f aca="false">I72^2</f>
        <v>859481.913012436</v>
      </c>
      <c r="L72" s="23" t="n">
        <f aca="false">H72*I72</f>
        <v>940662.621727809</v>
      </c>
    </row>
    <row r="73" customFormat="false" ht="15" hidden="false" customHeight="false" outlineLevel="0" collapsed="false">
      <c r="A73" s="21" t="s">
        <v>97</v>
      </c>
      <c r="B73" s="22" t="n">
        <v>3291</v>
      </c>
      <c r="C73" s="22" t="n">
        <v>4118</v>
      </c>
      <c r="D73" s="22" t="n">
        <f aca="false">C73-B73</f>
        <v>827</v>
      </c>
      <c r="E73" s="22" t="n">
        <v>3.91</v>
      </c>
      <c r="F73" s="22" t="n">
        <v>4.1</v>
      </c>
      <c r="G73" s="22" t="n">
        <f aca="false">F73-E73</f>
        <v>0.19</v>
      </c>
      <c r="H73" s="22" t="n">
        <f aca="false">D73-$B$13</f>
        <v>382.351736842105</v>
      </c>
      <c r="I73" s="22" t="n">
        <f aca="false">G73-$B$14</f>
        <v>432.97752631579</v>
      </c>
      <c r="J73" s="23" t="n">
        <f aca="false">H73^2</f>
        <v>146192.850666175</v>
      </c>
      <c r="K73" s="23" t="n">
        <f aca="false">I73^2</f>
        <v>187469.538294541</v>
      </c>
      <c r="L73" s="23" t="n">
        <f aca="false">H73*I73</f>
        <v>165549.709200441</v>
      </c>
    </row>
    <row r="74" customFormat="false" ht="15" hidden="false" customHeight="false" outlineLevel="0" collapsed="false">
      <c r="A74" s="21" t="s">
        <v>98</v>
      </c>
      <c r="B74" s="22" t="n">
        <v>875.14</v>
      </c>
      <c r="C74" s="22" t="n">
        <v>873.88</v>
      </c>
      <c r="D74" s="22" t="n">
        <f aca="false">C74-B74</f>
        <v>-1.25999999999999</v>
      </c>
      <c r="E74" s="22" t="n">
        <v>705.81</v>
      </c>
      <c r="F74" s="22" t="n">
        <v>683.17</v>
      </c>
      <c r="G74" s="22" t="n">
        <f aca="false">F74-E74</f>
        <v>-22.64</v>
      </c>
      <c r="H74" s="22" t="n">
        <f aca="false">D74-$B$13</f>
        <v>-445.908263157895</v>
      </c>
      <c r="I74" s="22" t="n">
        <f aca="false">G74-$B$14</f>
        <v>410.14752631579</v>
      </c>
      <c r="J74" s="23" t="n">
        <f aca="false">H74^2</f>
        <v>198834.17915249</v>
      </c>
      <c r="K74" s="23" t="n">
        <f aca="false">I74^2</f>
        <v>168220.993342962</v>
      </c>
      <c r="L74" s="23" t="n">
        <f aca="false">H74*I74</f>
        <v>-182888.171097981</v>
      </c>
    </row>
    <row r="75" customFormat="false" ht="15" hidden="false" customHeight="false" outlineLevel="0" collapsed="false">
      <c r="A75" s="21" t="s">
        <v>99</v>
      </c>
      <c r="B75" s="22" t="n">
        <v>99.77</v>
      </c>
      <c r="C75" s="22" t="n">
        <v>90.92</v>
      </c>
      <c r="D75" s="22" t="n">
        <f aca="false">C75-B75</f>
        <v>-8.84999999999999</v>
      </c>
      <c r="E75" s="22" t="n">
        <v>2615.58</v>
      </c>
      <c r="F75" s="22" t="n">
        <v>2423.34</v>
      </c>
      <c r="G75" s="22" t="n">
        <f aca="false">F75-E75</f>
        <v>-192.24</v>
      </c>
      <c r="H75" s="22" t="n">
        <f aca="false">D75-$B$13</f>
        <v>-453.498263157895</v>
      </c>
      <c r="I75" s="22" t="n">
        <f aca="false">G75-$B$14</f>
        <v>240.54752631579</v>
      </c>
      <c r="J75" s="23" t="n">
        <f aca="false">H75^2</f>
        <v>205660.674687227</v>
      </c>
      <c r="K75" s="23" t="n">
        <f aca="false">I75^2</f>
        <v>57863.1124166458</v>
      </c>
      <c r="L75" s="23" t="n">
        <f aca="false">H75*I75</f>
        <v>-109087.885391139</v>
      </c>
    </row>
    <row r="76" customFormat="false" ht="15" hidden="false" customHeight="false" outlineLevel="0" collapsed="false">
      <c r="A76" s="21" t="s">
        <v>100</v>
      </c>
      <c r="B76" s="22" t="n">
        <v>561.8</v>
      </c>
      <c r="C76" s="22" t="n">
        <v>691.36</v>
      </c>
      <c r="D76" s="22" t="n">
        <f aca="false">C76-B76</f>
        <v>129.56</v>
      </c>
      <c r="E76" s="22" t="n">
        <v>1591.51</v>
      </c>
      <c r="F76" s="22" t="n">
        <v>1453.98</v>
      </c>
      <c r="G76" s="22" t="n">
        <f aca="false">F76-E76</f>
        <v>-137.53</v>
      </c>
      <c r="H76" s="22" t="n">
        <f aca="false">D76-$B$13</f>
        <v>-315.088263157895</v>
      </c>
      <c r="I76" s="22" t="n">
        <f aca="false">G76-$B$14</f>
        <v>295.25752631579</v>
      </c>
      <c r="J76" s="23" t="n">
        <f aca="false">H76^2</f>
        <v>99280.6135798587</v>
      </c>
      <c r="K76" s="23" t="n">
        <f aca="false">I76^2</f>
        <v>87177.0068461194</v>
      </c>
      <c r="L76" s="23" t="n">
        <f aca="false">H76*I76</f>
        <v>-93032.1811511387</v>
      </c>
    </row>
    <row r="77" customFormat="false" ht="15" hidden="false" customHeight="false" outlineLevel="0" collapsed="false">
      <c r="A77" s="21" t="s">
        <v>101</v>
      </c>
      <c r="B77" s="22" t="n">
        <v>855</v>
      </c>
      <c r="C77" s="22" t="n">
        <v>715</v>
      </c>
      <c r="D77" s="22" t="n">
        <f aca="false">C77-B77</f>
        <v>-140</v>
      </c>
      <c r="E77" s="22" t="n">
        <v>2238.89</v>
      </c>
      <c r="F77" s="22" t="n">
        <v>2445.6</v>
      </c>
      <c r="G77" s="22" t="n">
        <f aca="false">F77-E77</f>
        <v>206.71</v>
      </c>
      <c r="H77" s="22" t="n">
        <f aca="false">D77-$B$13</f>
        <v>-584.648263157895</v>
      </c>
      <c r="I77" s="22" t="n">
        <f aca="false">G77-$B$14</f>
        <v>639.49752631579</v>
      </c>
      <c r="J77" s="23" t="n">
        <f aca="false">H77^2</f>
        <v>341813.591613543</v>
      </c>
      <c r="K77" s="23" t="n">
        <f aca="false">I77^2</f>
        <v>408957.086164015</v>
      </c>
      <c r="L77" s="23" t="n">
        <f aca="false">H77*I77</f>
        <v>-373881.118054297</v>
      </c>
    </row>
    <row r="78" customFormat="false" ht="15" hidden="false" customHeight="false" outlineLevel="0" collapsed="false">
      <c r="A78" s="21" t="s">
        <v>102</v>
      </c>
      <c r="B78" s="22" t="n">
        <v>191</v>
      </c>
      <c r="C78" s="22" t="n">
        <v>197.38</v>
      </c>
      <c r="D78" s="22" t="n">
        <f aca="false">C78-B78</f>
        <v>6.38</v>
      </c>
      <c r="E78" s="22" t="n">
        <v>470.57</v>
      </c>
      <c r="F78" s="22" t="n">
        <v>436.07</v>
      </c>
      <c r="G78" s="22" t="n">
        <f aca="false">F78-E78</f>
        <v>-34.5</v>
      </c>
      <c r="H78" s="22" t="n">
        <f aca="false">D78-$B$13</f>
        <v>-438.268263157895</v>
      </c>
      <c r="I78" s="22" t="n">
        <f aca="false">G78-$B$14</f>
        <v>398.28752631579</v>
      </c>
      <c r="J78" s="23" t="n">
        <f aca="false">H78^2</f>
        <v>192079.070491438</v>
      </c>
      <c r="K78" s="23" t="n">
        <f aca="false">I78^2</f>
        <v>158632.953618751</v>
      </c>
      <c r="L78" s="23" t="n">
        <f aca="false">H78*I78</f>
        <v>-174556.782395876</v>
      </c>
    </row>
    <row r="79" customFormat="false" ht="15" hidden="false" customHeight="false" outlineLevel="0" collapsed="false">
      <c r="A79" s="21" t="s">
        <v>103</v>
      </c>
      <c r="B79" s="22" t="n">
        <v>10491.5</v>
      </c>
      <c r="C79" s="22" t="n">
        <v>18456.93</v>
      </c>
      <c r="D79" s="22" t="n">
        <f aca="false">C79-B79</f>
        <v>7965.43</v>
      </c>
      <c r="E79" s="22" t="n">
        <v>27809.4</v>
      </c>
      <c r="F79" s="22" t="n">
        <v>26754.94</v>
      </c>
      <c r="G79" s="22" t="n">
        <f aca="false">F79-E79</f>
        <v>-1054.46</v>
      </c>
      <c r="H79" s="22" t="n">
        <f aca="false">D79-$B$13</f>
        <v>7520.78173684211</v>
      </c>
      <c r="I79" s="22" t="n">
        <f aca="false">G79-$B$14</f>
        <v>-621.672473684213</v>
      </c>
      <c r="J79" s="23" t="n">
        <f aca="false">H79^2</f>
        <v>56562157.9332178</v>
      </c>
      <c r="K79" s="23" t="n">
        <f aca="false">I79^2</f>
        <v>386476.664536648</v>
      </c>
      <c r="L79" s="23" t="n">
        <f aca="false">H79*I79</f>
        <v>-4675462.98638168</v>
      </c>
    </row>
    <row r="80" customFormat="false" ht="15" hidden="false" customHeight="false" outlineLevel="0" collapsed="false">
      <c r="A80" s="21" t="s">
        <v>104</v>
      </c>
      <c r="B80" s="22" t="n">
        <v>0.06</v>
      </c>
      <c r="C80" s="22" t="n">
        <v>0.07</v>
      </c>
      <c r="D80" s="22" t="n">
        <f aca="false">C80-B80</f>
        <v>0.01</v>
      </c>
      <c r="E80" s="22" t="n">
        <v>0.08</v>
      </c>
      <c r="F80" s="22" t="n">
        <v>0.08</v>
      </c>
      <c r="G80" s="22" t="n">
        <f aca="false">F80-E80</f>
        <v>0</v>
      </c>
      <c r="H80" s="22" t="n">
        <f aca="false">D80-$B$13</f>
        <v>-444.638263157895</v>
      </c>
      <c r="I80" s="22" t="n">
        <f aca="false">G80-$B$14</f>
        <v>432.78752631579</v>
      </c>
      <c r="J80" s="23" t="n">
        <f aca="false">H80^2</f>
        <v>197703.185064069</v>
      </c>
      <c r="K80" s="23" t="n">
        <f aca="false">I80^2</f>
        <v>187305.042934541</v>
      </c>
      <c r="L80" s="23" t="n">
        <f aca="false">H80*I80</f>
        <v>-192433.894017455</v>
      </c>
    </row>
    <row r="81" customFormat="false" ht="15" hidden="false" customHeight="false" outlineLevel="0" collapsed="false">
      <c r="A81" s="21" t="s">
        <v>105</v>
      </c>
      <c r="B81" s="22" t="n">
        <v>216.12</v>
      </c>
      <c r="C81" s="22" t="n">
        <v>138.6</v>
      </c>
      <c r="D81" s="22" t="n">
        <f aca="false">C81-B81</f>
        <v>-77.52</v>
      </c>
      <c r="E81" s="22" t="n">
        <v>1006.47</v>
      </c>
      <c r="F81" s="22" t="n">
        <v>1127.34</v>
      </c>
      <c r="G81" s="22" t="n">
        <f aca="false">F81-E81</f>
        <v>120.87</v>
      </c>
      <c r="H81" s="22" t="n">
        <f aca="false">D81-$B$13</f>
        <v>-522.168263157895</v>
      </c>
      <c r="I81" s="22" t="n">
        <f aca="false">G81-$B$14</f>
        <v>553.65752631579</v>
      </c>
      <c r="J81" s="23" t="n">
        <f aca="false">H81^2</f>
        <v>272659.695049332</v>
      </c>
      <c r="K81" s="23" t="n">
        <f aca="false">I81^2</f>
        <v>306536.65644612</v>
      </c>
      <c r="L81" s="23" t="n">
        <f aca="false">H81*I81</f>
        <v>-289102.388900612</v>
      </c>
    </row>
    <row r="82" customFormat="false" ht="15" hidden="false" customHeight="false" outlineLevel="0" collapsed="false">
      <c r="A82" s="21" t="s">
        <v>106</v>
      </c>
      <c r="B82" s="22" t="n">
        <v>2192</v>
      </c>
      <c r="C82" s="22" t="n">
        <v>2253.4</v>
      </c>
      <c r="D82" s="22" t="n">
        <f aca="false">C82-B82</f>
        <v>61.4000000000001</v>
      </c>
      <c r="E82" s="22" t="n">
        <v>22445.64</v>
      </c>
      <c r="F82" s="22" t="n">
        <v>22543</v>
      </c>
      <c r="G82" s="22" t="n">
        <f aca="false">F82-E82</f>
        <v>97.3600000000006</v>
      </c>
      <c r="H82" s="22" t="n">
        <f aca="false">D82-$B$13</f>
        <v>-383.248263157895</v>
      </c>
      <c r="I82" s="22" t="n">
        <f aca="false">G82-$B$14</f>
        <v>530.147526315791</v>
      </c>
      <c r="J82" s="23" t="n">
        <f aca="false">H82^2</f>
        <v>146879.231213543</v>
      </c>
      <c r="K82" s="23" t="n">
        <f aca="false">I82^2</f>
        <v>281056.399658752</v>
      </c>
      <c r="L82" s="23" t="n">
        <f aca="false">H82*I82</f>
        <v>-203178.118677981</v>
      </c>
    </row>
    <row r="83" customFormat="false" ht="15" hidden="false" customHeight="false" outlineLevel="0" collapsed="false">
      <c r="A83" s="21" t="s">
        <v>107</v>
      </c>
      <c r="B83" s="22" t="n">
        <v>19495.1</v>
      </c>
      <c r="C83" s="22" t="n">
        <v>17951.43</v>
      </c>
      <c r="D83" s="22" t="n">
        <f aca="false">C83-B83</f>
        <v>-1543.67</v>
      </c>
      <c r="E83" s="22" t="n">
        <v>15288</v>
      </c>
      <c r="F83" s="22" t="n">
        <v>17616.2</v>
      </c>
      <c r="G83" s="22" t="n">
        <f aca="false">F83-E83</f>
        <v>2328.2</v>
      </c>
      <c r="H83" s="22" t="n">
        <f aca="false">D83-$B$13</f>
        <v>-1988.31826315789</v>
      </c>
      <c r="I83" s="22" t="n">
        <f aca="false">G83-$B$14</f>
        <v>2760.98752631579</v>
      </c>
      <c r="J83" s="23" t="n">
        <f aca="false">H83^2</f>
        <v>3953409.51560722</v>
      </c>
      <c r="K83" s="23" t="n">
        <f aca="false">I83^2</f>
        <v>7623052.12047139</v>
      </c>
      <c r="L83" s="23" t="n">
        <f aca="false">H83*I83</f>
        <v>-5489721.92292482</v>
      </c>
    </row>
    <row r="84" customFormat="false" ht="15" hidden="false" customHeight="false" outlineLevel="0" collapsed="false">
      <c r="A84" s="21" t="s">
        <v>108</v>
      </c>
      <c r="B84" s="22" t="n">
        <v>16</v>
      </c>
      <c r="C84" s="22" t="n">
        <v>16.43</v>
      </c>
      <c r="D84" s="22" t="n">
        <f aca="false">C84-B84</f>
        <v>0.43</v>
      </c>
      <c r="E84" s="22" t="n">
        <v>8079.44</v>
      </c>
      <c r="F84" s="22" t="n">
        <v>7990.31</v>
      </c>
      <c r="G84" s="22" t="n">
        <f aca="false">F84-E84</f>
        <v>-89.1299999999992</v>
      </c>
      <c r="H84" s="22" t="n">
        <f aca="false">D84-$B$13</f>
        <v>-444.218263157895</v>
      </c>
      <c r="I84" s="22" t="n">
        <f aca="false">G84-$B$14</f>
        <v>343.657526315791</v>
      </c>
      <c r="J84" s="23" t="n">
        <f aca="false">H84^2</f>
        <v>197329.865323017</v>
      </c>
      <c r="K84" s="23" t="n">
        <f aca="false">I84^2</f>
        <v>118100.495393488</v>
      </c>
      <c r="L84" s="23" t="n">
        <f aca="false">H84*I84</f>
        <v>-152658.949461139</v>
      </c>
    </row>
    <row r="85" customFormat="false" ht="15" hidden="false" customHeight="false" outlineLevel="0" collapsed="false">
      <c r="A85" s="21" t="s">
        <v>109</v>
      </c>
      <c r="B85" s="22" t="n">
        <v>25.57</v>
      </c>
      <c r="C85" s="22" t="n">
        <v>27.08</v>
      </c>
      <c r="D85" s="22" t="n">
        <f aca="false">C85-B85</f>
        <v>1.51</v>
      </c>
      <c r="E85" s="22" t="n">
        <v>148.55</v>
      </c>
      <c r="F85" s="22" t="n">
        <v>149.46</v>
      </c>
      <c r="G85" s="22" t="n">
        <f aca="false">F85-E85</f>
        <v>0.909999999999997</v>
      </c>
      <c r="H85" s="22" t="n">
        <f aca="false">D85-$B$13</f>
        <v>-443.138263157895</v>
      </c>
      <c r="I85" s="22" t="n">
        <f aca="false">G85-$B$14</f>
        <v>433.69752631579</v>
      </c>
      <c r="J85" s="23" t="n">
        <f aca="false">H85^2</f>
        <v>196371.520274596</v>
      </c>
      <c r="K85" s="23" t="n">
        <f aca="false">I85^2</f>
        <v>188093.544332435</v>
      </c>
      <c r="L85" s="23" t="n">
        <f aca="false">H85*I85</f>
        <v>-192187.968547454</v>
      </c>
    </row>
    <row r="86" customFormat="false" ht="15" hidden="false" customHeight="false" outlineLevel="0" collapsed="false">
      <c r="A86" s="21" t="s">
        <v>110</v>
      </c>
      <c r="B86" s="22" t="n">
        <v>495</v>
      </c>
      <c r="C86" s="22" t="n">
        <v>495</v>
      </c>
      <c r="D86" s="22" t="n">
        <f aca="false">C86-B86</f>
        <v>0</v>
      </c>
      <c r="E86" s="22" t="n">
        <v>23701.62</v>
      </c>
      <c r="F86" s="22" t="n">
        <v>23568.77</v>
      </c>
      <c r="G86" s="22" t="n">
        <f aca="false">F86-E86</f>
        <v>-132.849999999999</v>
      </c>
      <c r="H86" s="22" t="n">
        <f aca="false">D86-$B$13</f>
        <v>-444.648263157895</v>
      </c>
      <c r="I86" s="22" t="n">
        <f aca="false">G86-$B$14</f>
        <v>299.937526315791</v>
      </c>
      <c r="J86" s="23" t="n">
        <f aca="false">H86^2</f>
        <v>197712.077929332</v>
      </c>
      <c r="K86" s="23" t="n">
        <f aca="false">I86^2</f>
        <v>89962.5196924361</v>
      </c>
      <c r="L86" s="23" t="n">
        <f aca="false">H86*I86</f>
        <v>-133366.700132192</v>
      </c>
    </row>
    <row r="87" customFormat="false" ht="15" hidden="false" customHeight="false" outlineLevel="0" collapsed="false">
      <c r="A87" s="21" t="s">
        <v>111</v>
      </c>
      <c r="B87" s="22" t="n">
        <v>238.9</v>
      </c>
      <c r="C87" s="22" t="n">
        <v>613.27</v>
      </c>
      <c r="D87" s="22" t="n">
        <f aca="false">C87-B87</f>
        <v>374.37</v>
      </c>
      <c r="E87" s="22" t="n">
        <v>357.87</v>
      </c>
      <c r="F87" s="22" t="n">
        <v>222.54</v>
      </c>
      <c r="G87" s="22" t="n">
        <f aca="false">F87-E87</f>
        <v>-135.33</v>
      </c>
      <c r="H87" s="22" t="n">
        <f aca="false">D87-$B$13</f>
        <v>-70.2782631578947</v>
      </c>
      <c r="I87" s="22" t="n">
        <f aca="false">G87-$B$14</f>
        <v>297.45752631579</v>
      </c>
      <c r="J87" s="23" t="n">
        <f aca="false">H87^2</f>
        <v>4939.03427249031</v>
      </c>
      <c r="K87" s="23" t="n">
        <f aca="false">I87^2</f>
        <v>88480.9799619088</v>
      </c>
      <c r="L87" s="23" t="n">
        <f aca="false">H87*I87</f>
        <v>-20904.7983127175</v>
      </c>
    </row>
    <row r="88" customFormat="false" ht="15" hidden="false" customHeight="false" outlineLevel="0" collapsed="false">
      <c r="A88" s="21" t="s">
        <v>112</v>
      </c>
      <c r="B88" s="22" t="n">
        <v>1062</v>
      </c>
      <c r="C88" s="22" t="n">
        <v>420.3</v>
      </c>
      <c r="D88" s="22" t="n">
        <f aca="false">C88-B88</f>
        <v>-641.7</v>
      </c>
      <c r="E88" s="22" t="n">
        <v>3038.7</v>
      </c>
      <c r="F88" s="22" t="n">
        <v>3100.5</v>
      </c>
      <c r="G88" s="22" t="n">
        <f aca="false">F88-E88</f>
        <v>61.8000000000002</v>
      </c>
      <c r="H88" s="22" t="n">
        <f aca="false">D88-$B$13</f>
        <v>-1086.34826315789</v>
      </c>
      <c r="I88" s="22" t="n">
        <f aca="false">G88-$B$14</f>
        <v>494.58752631579</v>
      </c>
      <c r="J88" s="23" t="n">
        <f aca="false">H88^2</f>
        <v>1180152.54886617</v>
      </c>
      <c r="K88" s="23" t="n">
        <f aca="false">I88^2</f>
        <v>244616.821187172</v>
      </c>
      <c r="L88" s="23" t="n">
        <f aca="false">H88*I88</f>
        <v>-537294.300192718</v>
      </c>
    </row>
    <row r="89" customFormat="false" ht="15" hidden="false" customHeight="false" outlineLevel="0" collapsed="false">
      <c r="A89" s="21" t="s">
        <v>113</v>
      </c>
      <c r="B89" s="22" t="n">
        <v>12020</v>
      </c>
      <c r="C89" s="22" t="n">
        <v>11881</v>
      </c>
      <c r="D89" s="22" t="n">
        <f aca="false">C89-B89</f>
        <v>-139</v>
      </c>
      <c r="E89" s="22" t="n">
        <v>11354</v>
      </c>
      <c r="F89" s="22" t="n">
        <v>11471.8</v>
      </c>
      <c r="G89" s="22" t="n">
        <f aca="false">F89-E89</f>
        <v>117.799999999999</v>
      </c>
      <c r="H89" s="22" t="n">
        <f aca="false">D89-$B$13</f>
        <v>-583.648263157895</v>
      </c>
      <c r="I89" s="22" t="n">
        <f aca="false">G89-$B$14</f>
        <v>550.587526315789</v>
      </c>
      <c r="J89" s="23" t="n">
        <f aca="false">H89^2</f>
        <v>340645.295087227</v>
      </c>
      <c r="K89" s="23" t="n">
        <f aca="false">I89^2</f>
        <v>303146.62413454</v>
      </c>
      <c r="L89" s="23" t="n">
        <f aca="false">H89*I89</f>
        <v>-321349.453450612</v>
      </c>
    </row>
    <row r="90" customFormat="false" ht="15" hidden="false" customHeight="false" outlineLevel="0" collapsed="false">
      <c r="A90" s="21" t="s">
        <v>114</v>
      </c>
      <c r="B90" s="22" t="n">
        <v>5576.2</v>
      </c>
      <c r="C90" s="22" t="n">
        <v>7417.5</v>
      </c>
      <c r="D90" s="22" t="n">
        <f aca="false">C90-B90</f>
        <v>1841.3</v>
      </c>
      <c r="E90" s="22" t="n">
        <v>6163.36</v>
      </c>
      <c r="F90" s="22" t="n">
        <v>6984.92</v>
      </c>
      <c r="G90" s="22" t="n">
        <f aca="false">F90-E90</f>
        <v>821.56</v>
      </c>
      <c r="H90" s="22" t="n">
        <f aca="false">D90-$B$13</f>
        <v>1396.65173684211</v>
      </c>
      <c r="I90" s="22" t="n">
        <f aca="false">G90-$B$14</f>
        <v>1254.34752631579</v>
      </c>
      <c r="J90" s="23" t="n">
        <f aca="false">H90^2</f>
        <v>1950636.07402407</v>
      </c>
      <c r="K90" s="23" t="n">
        <f aca="false">I90^2</f>
        <v>1573387.71677454</v>
      </c>
      <c r="L90" s="23" t="n">
        <f aca="false">H90*I90</f>
        <v>1751886.65123255</v>
      </c>
    </row>
    <row r="91" customFormat="false" ht="15" hidden="false" customHeight="false" outlineLevel="0" collapsed="false">
      <c r="A91" s="21" t="s">
        <v>115</v>
      </c>
      <c r="B91" s="22" t="n">
        <v>3854</v>
      </c>
      <c r="C91" s="22" t="n">
        <v>2888</v>
      </c>
      <c r="D91" s="22" t="n">
        <f aca="false">C91-B91</f>
        <v>-966</v>
      </c>
      <c r="E91" s="22" t="n">
        <v>3708.9</v>
      </c>
      <c r="F91" s="22" t="n">
        <v>4762.8</v>
      </c>
      <c r="G91" s="22" t="n">
        <f aca="false">F91-E91</f>
        <v>1053.9</v>
      </c>
      <c r="H91" s="22" t="n">
        <f aca="false">D91-$B$13</f>
        <v>-1410.64826315789</v>
      </c>
      <c r="I91" s="22" t="n">
        <f aca="false">G91-$B$14</f>
        <v>1486.68752631579</v>
      </c>
      <c r="J91" s="23" t="n">
        <f aca="false">H91^2</f>
        <v>1989928.52235038</v>
      </c>
      <c r="K91" s="23" t="n">
        <f aca="false">I91^2</f>
        <v>2210239.80090296</v>
      </c>
      <c r="L91" s="23" t="n">
        <f aca="false">H91*I91</f>
        <v>-2097193.17685588</v>
      </c>
    </row>
    <row r="92" customFormat="false" ht="15" hidden="false" customHeight="false" outlineLevel="0" collapsed="false">
      <c r="A92" s="21" t="s">
        <v>116</v>
      </c>
      <c r="B92" s="22" t="n">
        <v>11</v>
      </c>
      <c r="C92" s="22" t="n">
        <v>7</v>
      </c>
      <c r="D92" s="22" t="n">
        <f aca="false">C92-B92</f>
        <v>-4</v>
      </c>
      <c r="E92" s="22" t="n">
        <v>17.7</v>
      </c>
      <c r="F92" s="22" t="n">
        <v>17.7</v>
      </c>
      <c r="G92" s="22" t="n">
        <f aca="false">F92-E92</f>
        <v>0</v>
      </c>
      <c r="H92" s="22" t="n">
        <f aca="false">D92-$B$13</f>
        <v>-448.648263157895</v>
      </c>
      <c r="I92" s="22" t="n">
        <f aca="false">G92-$B$14</f>
        <v>432.78752631579</v>
      </c>
      <c r="J92" s="23" t="n">
        <f aca="false">H92^2</f>
        <v>201285.264034596</v>
      </c>
      <c r="K92" s="23" t="n">
        <f aca="false">I92^2</f>
        <v>187305.042934541</v>
      </c>
      <c r="L92" s="23" t="n">
        <f aca="false">H92*I92</f>
        <v>-194169.371997981</v>
      </c>
    </row>
    <row r="93" customFormat="false" ht="15" hidden="false" customHeight="false" outlineLevel="0" collapsed="false">
      <c r="A93" s="21" t="s">
        <v>117</v>
      </c>
      <c r="B93" s="22" t="n">
        <v>25</v>
      </c>
      <c r="C93" s="22" t="n">
        <v>22.37</v>
      </c>
      <c r="D93" s="22" t="n">
        <f aca="false">C93-B93</f>
        <v>-2.63</v>
      </c>
      <c r="E93" s="22" t="n">
        <v>72.27</v>
      </c>
      <c r="F93" s="22" t="n">
        <v>75.06</v>
      </c>
      <c r="G93" s="22" t="n">
        <f aca="false">F93-E93</f>
        <v>2.79000000000001</v>
      </c>
      <c r="H93" s="22" t="n">
        <f aca="false">D93-$B$13</f>
        <v>-447.278263157895</v>
      </c>
      <c r="I93" s="22" t="n">
        <f aca="false">G93-$B$14</f>
        <v>435.57752631579</v>
      </c>
      <c r="J93" s="23" t="n">
        <f aca="false">H93^2</f>
        <v>200057.844693543</v>
      </c>
      <c r="K93" s="23" t="n">
        <f aca="false">I93^2</f>
        <v>189727.781431383</v>
      </c>
      <c r="L93" s="23" t="n">
        <f aca="false">H93*I93</f>
        <v>-194824.359441139</v>
      </c>
    </row>
    <row r="94" customFormat="false" ht="15" hidden="false" customHeight="false" outlineLevel="0" collapsed="false">
      <c r="A94" s="21" t="s">
        <v>118</v>
      </c>
      <c r="B94" s="22" t="n">
        <v>2283.71</v>
      </c>
      <c r="C94" s="22" t="n">
        <v>3058.93</v>
      </c>
      <c r="D94" s="22" t="n">
        <f aca="false">C94-B94</f>
        <v>775.22</v>
      </c>
      <c r="E94" s="22" t="n">
        <v>4226.66</v>
      </c>
      <c r="F94" s="22" t="n">
        <v>3562.03</v>
      </c>
      <c r="G94" s="22" t="n">
        <f aca="false">F94-E94</f>
        <v>-664.63</v>
      </c>
      <c r="H94" s="22" t="n">
        <f aca="false">D94-$B$13</f>
        <v>330.571736842105</v>
      </c>
      <c r="I94" s="22" t="n">
        <f aca="false">G94-$B$14</f>
        <v>-231.84247368421</v>
      </c>
      <c r="J94" s="23" t="n">
        <f aca="false">H94^2</f>
        <v>109277.673198806</v>
      </c>
      <c r="K94" s="23" t="n">
        <f aca="false">I94^2</f>
        <v>53750.9326040135</v>
      </c>
      <c r="L94" s="23" t="n">
        <f aca="false">H94*I94</f>
        <v>-76640.5691995592</v>
      </c>
    </row>
    <row r="95" customFormat="false" ht="15" hidden="false" customHeight="false" outlineLevel="0" collapsed="false">
      <c r="A95" s="21" t="s">
        <v>119</v>
      </c>
      <c r="B95" s="22" t="n">
        <v>3365.06</v>
      </c>
      <c r="C95" s="22" t="n">
        <v>7268.06</v>
      </c>
      <c r="D95" s="22" t="n">
        <f aca="false">C95-B95</f>
        <v>3903</v>
      </c>
      <c r="E95" s="22" t="n">
        <v>6532.24</v>
      </c>
      <c r="F95" s="22" t="n">
        <v>4991.31</v>
      </c>
      <c r="G95" s="22" t="n">
        <f aca="false">F95-E95</f>
        <v>-1540.93</v>
      </c>
      <c r="H95" s="22" t="n">
        <f aca="false">D95-$B$13</f>
        <v>3458.35173684211</v>
      </c>
      <c r="I95" s="22" t="n">
        <f aca="false">G95-$B$14</f>
        <v>-1108.14247368421</v>
      </c>
      <c r="J95" s="23" t="n">
        <f aca="false">H95^2</f>
        <v>11960196.7357188</v>
      </c>
      <c r="K95" s="23" t="n">
        <f aca="false">I95^2</f>
        <v>1227979.74198296</v>
      </c>
      <c r="L95" s="23" t="n">
        <f aca="false">H95*I95</f>
        <v>-3832346.44853429</v>
      </c>
    </row>
    <row r="96" customFormat="false" ht="15" hidden="false" customHeight="false" outlineLevel="0" collapsed="false">
      <c r="A96" s="21" t="s">
        <v>120</v>
      </c>
      <c r="B96" s="22" t="n">
        <v>547.37</v>
      </c>
      <c r="C96" s="22" t="n">
        <v>658.74</v>
      </c>
      <c r="D96" s="22" t="n">
        <f aca="false">C96-B96</f>
        <v>111.37</v>
      </c>
      <c r="E96" s="22" t="n">
        <v>2207.12</v>
      </c>
      <c r="F96" s="22" t="n">
        <v>2108.07</v>
      </c>
      <c r="G96" s="22" t="n">
        <f aca="false">F96-E96</f>
        <v>-99.0499999999997</v>
      </c>
      <c r="H96" s="22" t="n">
        <f aca="false">D96-$B$13</f>
        <v>-333.278263157895</v>
      </c>
      <c r="I96" s="22" t="n">
        <f aca="false">G96-$B$14</f>
        <v>333.73752631579</v>
      </c>
      <c r="J96" s="23" t="n">
        <f aca="false">H96^2</f>
        <v>111074.400693543</v>
      </c>
      <c r="K96" s="23" t="n">
        <f aca="false">I96^2</f>
        <v>111380.736471383</v>
      </c>
      <c r="L96" s="23" t="n">
        <f aca="false">H96*I96</f>
        <v>-111227.463121139</v>
      </c>
    </row>
    <row r="97" customFormat="false" ht="15" hidden="false" customHeight="false" outlineLevel="0" collapsed="false">
      <c r="A97" s="21" t="s">
        <v>121</v>
      </c>
      <c r="B97" s="22" t="n">
        <v>121.28</v>
      </c>
      <c r="C97" s="22" t="n">
        <v>126</v>
      </c>
      <c r="D97" s="22" t="n">
        <f aca="false">C97-B97</f>
        <v>4.72</v>
      </c>
      <c r="E97" s="22" t="n">
        <v>18564.22</v>
      </c>
      <c r="F97" s="22" t="n">
        <v>18392.45</v>
      </c>
      <c r="G97" s="22" t="n">
        <f aca="false">F97-E97</f>
        <v>-171.77</v>
      </c>
      <c r="H97" s="22" t="n">
        <f aca="false">D97-$B$13</f>
        <v>-439.928263157895</v>
      </c>
      <c r="I97" s="22" t="n">
        <f aca="false">G97-$B$14</f>
        <v>261.01752631579</v>
      </c>
      <c r="J97" s="23" t="n">
        <f aca="false">H97^2</f>
        <v>193536.876725122</v>
      </c>
      <c r="K97" s="23" t="n">
        <f aca="false">I97^2</f>
        <v>68130.1490440139</v>
      </c>
      <c r="L97" s="23" t="n">
        <f aca="false">H97*I97</f>
        <v>-114828.987005875</v>
      </c>
    </row>
    <row r="98" customFormat="false" ht="15" hidden="false" customHeight="false" outlineLevel="0" collapsed="false">
      <c r="A98" s="21" t="s">
        <v>122</v>
      </c>
      <c r="B98" s="22" t="n">
        <v>1200</v>
      </c>
      <c r="C98" s="22" t="n">
        <v>1305</v>
      </c>
      <c r="D98" s="22" t="n">
        <f aca="false">C98-B98</f>
        <v>105</v>
      </c>
      <c r="E98" s="22" t="n">
        <v>384.2</v>
      </c>
      <c r="F98" s="22" t="n">
        <v>369.3</v>
      </c>
      <c r="G98" s="22" t="n">
        <f aca="false">F98-E98</f>
        <v>-14.9</v>
      </c>
      <c r="H98" s="22" t="n">
        <f aca="false">D98-$B$13</f>
        <v>-339.648263157895</v>
      </c>
      <c r="I98" s="22" t="n">
        <f aca="false">G98-$B$14</f>
        <v>417.88752631579</v>
      </c>
      <c r="J98" s="23" t="n">
        <f aca="false">H98^2</f>
        <v>115360.942666175</v>
      </c>
      <c r="K98" s="23" t="n">
        <f aca="false">I98^2</f>
        <v>174629.98465033</v>
      </c>
      <c r="L98" s="23" t="n">
        <f aca="false">H98*I98</f>
        <v>-141934.772508507</v>
      </c>
    </row>
    <row r="99" customFormat="false" ht="15" hidden="false" customHeight="false" outlineLevel="0" collapsed="false">
      <c r="A99" s="21" t="s">
        <v>123</v>
      </c>
      <c r="B99" s="22" t="n">
        <v>1427</v>
      </c>
      <c r="C99" s="22" t="n">
        <v>1670.83</v>
      </c>
      <c r="D99" s="22" t="n">
        <f aca="false">C99-B99</f>
        <v>243.83</v>
      </c>
      <c r="E99" s="22" t="n">
        <v>7129.47</v>
      </c>
      <c r="F99" s="22" t="n">
        <v>5961.77</v>
      </c>
      <c r="G99" s="22" t="n">
        <f aca="false">F99-E99</f>
        <v>-1167.7</v>
      </c>
      <c r="H99" s="22" t="n">
        <f aca="false">D99-$B$13</f>
        <v>-200.818263157895</v>
      </c>
      <c r="I99" s="22" t="n">
        <f aca="false">G99-$B$14</f>
        <v>-734.91247368421</v>
      </c>
      <c r="J99" s="23" t="n">
        <f aca="false">H99^2</f>
        <v>40327.9748177535</v>
      </c>
      <c r="K99" s="23" t="n">
        <f aca="false">I99^2</f>
        <v>540096.343976644</v>
      </c>
      <c r="L99" s="23" t="n">
        <f aca="false">H99*I99</f>
        <v>147583.846538335</v>
      </c>
    </row>
    <row r="100" customFormat="false" ht="15" hidden="false" customHeight="false" outlineLevel="0" collapsed="false">
      <c r="A100" s="21" t="s">
        <v>124</v>
      </c>
      <c r="B100" s="22" t="n">
        <v>4803</v>
      </c>
      <c r="C100" s="22" t="n">
        <v>4294.11</v>
      </c>
      <c r="D100" s="22" t="n">
        <f aca="false">C100-B100</f>
        <v>-508.89</v>
      </c>
      <c r="E100" s="22" t="n">
        <v>1921.17</v>
      </c>
      <c r="F100" s="22" t="n">
        <v>2075.22</v>
      </c>
      <c r="G100" s="22" t="n">
        <f aca="false">F100-E100</f>
        <v>154.05</v>
      </c>
      <c r="H100" s="22" t="n">
        <f aca="false">D100-$B$13</f>
        <v>-953.538263157895</v>
      </c>
      <c r="I100" s="22" t="n">
        <f aca="false">G100-$B$14</f>
        <v>586.83752631579</v>
      </c>
      <c r="J100" s="23" t="n">
        <f aca="false">H100^2</f>
        <v>909235.219306175</v>
      </c>
      <c r="K100" s="23" t="n">
        <f aca="false">I100^2</f>
        <v>344378.282292435</v>
      </c>
      <c r="L100" s="23" t="n">
        <f aca="false">H100*I100</f>
        <v>-559572.035599034</v>
      </c>
    </row>
    <row r="101" customFormat="false" ht="15" hidden="false" customHeight="false" outlineLevel="0" collapsed="false">
      <c r="A101" s="21" t="s">
        <v>125</v>
      </c>
      <c r="B101" s="22" t="n">
        <v>129</v>
      </c>
      <c r="C101" s="22" t="n">
        <v>121</v>
      </c>
      <c r="D101" s="22" t="n">
        <f aca="false">C101-B101</f>
        <v>-8</v>
      </c>
      <c r="E101" s="22" t="n">
        <v>32.22</v>
      </c>
      <c r="F101" s="22" t="n">
        <v>59.55</v>
      </c>
      <c r="G101" s="22" t="n">
        <f aca="false">F101-E101</f>
        <v>27.33</v>
      </c>
      <c r="H101" s="22" t="n">
        <f aca="false">D101-$B$13</f>
        <v>-452.648263157895</v>
      </c>
      <c r="I101" s="22" t="n">
        <f aca="false">G101-$B$14</f>
        <v>460.11752631579</v>
      </c>
      <c r="J101" s="23" t="n">
        <f aca="false">H101^2</f>
        <v>204890.450139859</v>
      </c>
      <c r="K101" s="23" t="n">
        <f aca="false">I101^2</f>
        <v>211708.138022962</v>
      </c>
      <c r="L101" s="23" t="n">
        <f aca="false">H101*I101</f>
        <v>-208271.399135349</v>
      </c>
    </row>
    <row r="102" customFormat="false" ht="15" hidden="false" customHeight="false" outlineLevel="0" collapsed="false">
      <c r="A102" s="21" t="s">
        <v>126</v>
      </c>
      <c r="B102" s="22" t="n">
        <v>170130</v>
      </c>
      <c r="C102" s="22" t="n">
        <v>168323</v>
      </c>
      <c r="D102" s="22" t="n">
        <f aca="false">C102-B102</f>
        <v>-1807</v>
      </c>
      <c r="E102" s="22" t="n">
        <v>67591</v>
      </c>
      <c r="F102" s="22" t="n">
        <v>72567</v>
      </c>
      <c r="G102" s="22" t="n">
        <f aca="false">F102-E102</f>
        <v>4976</v>
      </c>
      <c r="H102" s="22" t="n">
        <f aca="false">D102-$B$13</f>
        <v>-2251.64826315789</v>
      </c>
      <c r="I102" s="22" t="n">
        <f aca="false">G102-$B$14</f>
        <v>5408.78752631579</v>
      </c>
      <c r="J102" s="23" t="n">
        <f aca="false">H102^2</f>
        <v>5069919.90098196</v>
      </c>
      <c r="K102" s="23" t="n">
        <f aca="false">I102^2</f>
        <v>29254982.5048293</v>
      </c>
      <c r="L102" s="23" t="n">
        <f aca="false">H102*I102</f>
        <v>-12178687.039419</v>
      </c>
    </row>
    <row r="103" customFormat="false" ht="15" hidden="false" customHeight="false" outlineLevel="0" collapsed="false">
      <c r="A103" s="21" t="s">
        <v>127</v>
      </c>
      <c r="B103" s="22" t="n">
        <v>33441</v>
      </c>
      <c r="C103" s="22" t="n">
        <v>43700.44</v>
      </c>
      <c r="D103" s="22" t="n">
        <f aca="false">C103-B103</f>
        <v>10259.44</v>
      </c>
      <c r="E103" s="22" t="n">
        <v>91958.6</v>
      </c>
      <c r="F103" s="22" t="n">
        <v>95806.34</v>
      </c>
      <c r="G103" s="22" t="n">
        <f aca="false">F103-E103</f>
        <v>3847.73999999999</v>
      </c>
      <c r="H103" s="22" t="n">
        <f aca="false">D103-$B$13</f>
        <v>9814.79173684211</v>
      </c>
      <c r="I103" s="22" t="n">
        <f aca="false">G103-$B$14</f>
        <v>4280.52752631578</v>
      </c>
      <c r="J103" s="23" t="n">
        <f aca="false">H103^2</f>
        <v>96330136.8375841</v>
      </c>
      <c r="K103" s="23" t="n">
        <f aca="false">I103^2</f>
        <v>18322915.9035471</v>
      </c>
      <c r="L103" s="23" t="n">
        <f aca="false">H103*I103</f>
        <v>42012486.1946093</v>
      </c>
    </row>
    <row r="104" customFormat="false" ht="15" hidden="false" customHeight="false" outlineLevel="0" collapsed="false">
      <c r="A104" s="21" t="s">
        <v>128</v>
      </c>
      <c r="B104" s="22" t="n">
        <v>16284</v>
      </c>
      <c r="C104" s="22" t="n">
        <v>17590</v>
      </c>
      <c r="D104" s="22" t="n">
        <f aca="false">C104-B104</f>
        <v>1306</v>
      </c>
      <c r="E104" s="22" t="n">
        <v>10751</v>
      </c>
      <c r="F104" s="22" t="n">
        <v>10751</v>
      </c>
      <c r="G104" s="22" t="n">
        <f aca="false">F104-E104</f>
        <v>0</v>
      </c>
      <c r="H104" s="22" t="n">
        <f aca="false">D104-$B$13</f>
        <v>861.351736842105</v>
      </c>
      <c r="I104" s="22" t="n">
        <f aca="false">G104-$B$14</f>
        <v>432.78752631579</v>
      </c>
      <c r="J104" s="23" t="n">
        <f aca="false">H104^2</f>
        <v>741926.814560911</v>
      </c>
      <c r="K104" s="23" t="n">
        <f aca="false">I104^2</f>
        <v>187305.042934541</v>
      </c>
      <c r="L104" s="23" t="n">
        <f aca="false">H104*I104</f>
        <v>372782.287475704</v>
      </c>
    </row>
    <row r="105" customFormat="false" ht="15" hidden="false" customHeight="false" outlineLevel="0" collapsed="false">
      <c r="A105" s="21" t="s">
        <v>129</v>
      </c>
      <c r="B105" s="22" t="n">
        <v>4495.2</v>
      </c>
      <c r="C105" s="22" t="n">
        <v>5406.6</v>
      </c>
      <c r="D105" s="22" t="n">
        <f aca="false">C105-B105</f>
        <v>911.400000000001</v>
      </c>
      <c r="E105" s="22" t="n">
        <v>817.62</v>
      </c>
      <c r="F105" s="22" t="n">
        <v>705.76</v>
      </c>
      <c r="G105" s="22" t="n">
        <f aca="false">F105-E105</f>
        <v>-111.86</v>
      </c>
      <c r="H105" s="22" t="n">
        <f aca="false">D105-$B$13</f>
        <v>466.751736842106</v>
      </c>
      <c r="I105" s="22" t="n">
        <f aca="false">G105-$B$14</f>
        <v>320.92752631579</v>
      </c>
      <c r="J105" s="23" t="n">
        <f aca="false">H105^2</f>
        <v>217857.183845122</v>
      </c>
      <c r="K105" s="23" t="n">
        <f aca="false">I105^2</f>
        <v>102994.477147172</v>
      </c>
      <c r="L105" s="23" t="n">
        <f aca="false">H105*I105</f>
        <v>149793.480308336</v>
      </c>
    </row>
    <row r="106" customFormat="false" ht="15" hidden="false" customHeight="false" outlineLevel="0" collapsed="false">
      <c r="A106" s="21" t="s">
        <v>130</v>
      </c>
      <c r="B106" s="22" t="n">
        <v>490.1</v>
      </c>
      <c r="C106" s="22" t="n">
        <v>441</v>
      </c>
      <c r="D106" s="22" t="n">
        <f aca="false">C106-B106</f>
        <v>-49.1</v>
      </c>
      <c r="E106" s="22" t="n">
        <v>630.36</v>
      </c>
      <c r="F106" s="22" t="n">
        <v>817.04</v>
      </c>
      <c r="G106" s="22" t="n">
        <f aca="false">F106-E106</f>
        <v>186.68</v>
      </c>
      <c r="H106" s="22" t="n">
        <f aca="false">D106-$B$13</f>
        <v>-493.748263157895</v>
      </c>
      <c r="I106" s="22" t="n">
        <f aca="false">G106-$B$14</f>
        <v>619.46752631579</v>
      </c>
      <c r="J106" s="23" t="n">
        <f aca="false">H106^2</f>
        <v>243787.347371438</v>
      </c>
      <c r="K106" s="23" t="n">
        <f aca="false">I106^2</f>
        <v>383740.016159804</v>
      </c>
      <c r="L106" s="23" t="n">
        <f aca="false">H106*I106</f>
        <v>-305861.015201139</v>
      </c>
    </row>
    <row r="107" customFormat="false" ht="15" hidden="false" customHeight="false" outlineLevel="0" collapsed="false">
      <c r="A107" s="21" t="s">
        <v>131</v>
      </c>
      <c r="B107" s="22" t="n">
        <v>424</v>
      </c>
      <c r="C107" s="22" t="n">
        <v>372.7</v>
      </c>
      <c r="D107" s="22" t="n">
        <f aca="false">C107-B107</f>
        <v>-51.3</v>
      </c>
      <c r="E107" s="22" t="n">
        <v>153</v>
      </c>
      <c r="F107" s="22" t="n">
        <v>146</v>
      </c>
      <c r="G107" s="22" t="n">
        <f aca="false">F107-E107</f>
        <v>-7</v>
      </c>
      <c r="H107" s="22" t="n">
        <f aca="false">D107-$B$13</f>
        <v>-495.948263157895</v>
      </c>
      <c r="I107" s="22" t="n">
        <f aca="false">G107-$B$14</f>
        <v>425.78752631579</v>
      </c>
      <c r="J107" s="23" t="n">
        <f aca="false">H107^2</f>
        <v>245964.679729332</v>
      </c>
      <c r="K107" s="23" t="n">
        <f aca="false">I107^2</f>
        <v>181295.01756612</v>
      </c>
      <c r="L107" s="23" t="n">
        <f aca="false">H107*I107</f>
        <v>-211168.584150612</v>
      </c>
    </row>
    <row r="108" customFormat="false" ht="15" hidden="false" customHeight="false" outlineLevel="0" collapsed="false">
      <c r="A108" s="21" t="s">
        <v>132</v>
      </c>
      <c r="B108" s="22" t="n">
        <v>11203.5</v>
      </c>
      <c r="C108" s="22" t="n">
        <v>9330</v>
      </c>
      <c r="D108" s="22" t="n">
        <f aca="false">C108-B108</f>
        <v>-1873.5</v>
      </c>
      <c r="E108" s="22" t="n">
        <v>8369.25</v>
      </c>
      <c r="F108" s="22" t="n">
        <v>9396.98</v>
      </c>
      <c r="G108" s="22" t="n">
        <f aca="false">F108-E108</f>
        <v>1027.73</v>
      </c>
      <c r="H108" s="22" t="n">
        <f aca="false">D108-$B$13</f>
        <v>-2318.14826315789</v>
      </c>
      <c r="I108" s="22" t="n">
        <f aca="false">G108-$B$14</f>
        <v>1460.51752631579</v>
      </c>
      <c r="J108" s="23" t="n">
        <f aca="false">H108^2</f>
        <v>5373811.36998196</v>
      </c>
      <c r="K108" s="23" t="n">
        <f aca="false">I108^2</f>
        <v>2133111.44467559</v>
      </c>
      <c r="L108" s="23" t="n">
        <f aca="false">H108*I108</f>
        <v>-3385696.16694061</v>
      </c>
    </row>
    <row r="109" customFormat="false" ht="15" hidden="false" customHeight="false" outlineLevel="0" collapsed="false">
      <c r="A109" s="21" t="s">
        <v>133</v>
      </c>
      <c r="B109" s="22" t="n">
        <v>254.09</v>
      </c>
      <c r="C109" s="22" t="n">
        <v>193.9</v>
      </c>
      <c r="D109" s="22" t="n">
        <f aca="false">C109-B109</f>
        <v>-60.19</v>
      </c>
      <c r="E109" s="22" t="n">
        <v>521.01</v>
      </c>
      <c r="F109" s="22" t="n">
        <v>608.54</v>
      </c>
      <c r="G109" s="22" t="n">
        <f aca="false">F109-E109</f>
        <v>87.53</v>
      </c>
      <c r="H109" s="22" t="n">
        <f aca="false">D109-$B$13</f>
        <v>-504.838263157895</v>
      </c>
      <c r="I109" s="22" t="n">
        <f aca="false">G109-$B$14</f>
        <v>520.31752631579</v>
      </c>
      <c r="J109" s="23" t="n">
        <f aca="false">H109^2</f>
        <v>254861.67194828</v>
      </c>
      <c r="K109" s="23" t="n">
        <f aca="false">I109^2</f>
        <v>270730.328191383</v>
      </c>
      <c r="L109" s="23" t="n">
        <f aca="false">H109*I109</f>
        <v>-262676.196275876</v>
      </c>
    </row>
    <row r="110" customFormat="false" ht="15" hidden="false" customHeight="false" outlineLevel="0" collapsed="false">
      <c r="A110" s="21" t="s">
        <v>134</v>
      </c>
      <c r="B110" s="22" t="n">
        <v>4830</v>
      </c>
      <c r="C110" s="22" t="n">
        <v>4297</v>
      </c>
      <c r="D110" s="22" t="n">
        <f aca="false">C110-B110</f>
        <v>-533</v>
      </c>
      <c r="E110" s="22" t="n">
        <v>24876</v>
      </c>
      <c r="F110" s="22" t="n">
        <v>24912.4</v>
      </c>
      <c r="G110" s="22" t="n">
        <f aca="false">F110-E110</f>
        <v>36.4000000000015</v>
      </c>
      <c r="H110" s="22" t="n">
        <f aca="false">D110-$B$13</f>
        <v>-977.648263157895</v>
      </c>
      <c r="I110" s="22" t="n">
        <f aca="false">G110-$B$14</f>
        <v>469.187526315791</v>
      </c>
      <c r="J110" s="23" t="n">
        <f aca="false">H110^2</f>
        <v>955796.126455648</v>
      </c>
      <c r="K110" s="23" t="n">
        <f aca="false">I110^2</f>
        <v>220136.934850331</v>
      </c>
      <c r="L110" s="23" t="n">
        <f aca="false">H110*I110</f>
        <v>-458700.370197982</v>
      </c>
    </row>
    <row r="111" customFormat="false" ht="15" hidden="false" customHeight="false" outlineLevel="0" collapsed="false">
      <c r="A111" s="21" t="s">
        <v>135</v>
      </c>
      <c r="B111" s="22" t="n">
        <v>278</v>
      </c>
      <c r="C111" s="22" t="n">
        <v>286.3</v>
      </c>
      <c r="D111" s="22" t="n">
        <f aca="false">C111-B111</f>
        <v>8.30000000000001</v>
      </c>
      <c r="E111" s="22" t="n">
        <v>70.7</v>
      </c>
      <c r="F111" s="22" t="n">
        <v>70.7</v>
      </c>
      <c r="G111" s="22" t="n">
        <f aca="false">F111-E111</f>
        <v>0</v>
      </c>
      <c r="H111" s="22" t="n">
        <f aca="false">D111-$B$13</f>
        <v>-436.348263157895</v>
      </c>
      <c r="I111" s="22" t="n">
        <f aca="false">G111-$B$14</f>
        <v>432.78752631579</v>
      </c>
      <c r="J111" s="23" t="n">
        <f aca="false">H111^2</f>
        <v>190399.806760911</v>
      </c>
      <c r="K111" s="23" t="n">
        <f aca="false">I111^2</f>
        <v>187305.042934541</v>
      </c>
      <c r="L111" s="23" t="n">
        <f aca="false">H111*I111</f>
        <v>-188846.085424297</v>
      </c>
    </row>
    <row r="112" customFormat="false" ht="15" hidden="false" customHeight="false" outlineLevel="0" collapsed="false">
      <c r="A112" s="21" t="s">
        <v>136</v>
      </c>
      <c r="B112" s="22" t="n">
        <v>30295.3</v>
      </c>
      <c r="C112" s="22" t="n">
        <v>30581.8</v>
      </c>
      <c r="D112" s="22" t="n">
        <f aca="false">C112-B112</f>
        <v>286.5</v>
      </c>
      <c r="E112" s="22" t="n">
        <v>3156.93</v>
      </c>
      <c r="F112" s="22" t="n">
        <v>3492.71</v>
      </c>
      <c r="G112" s="22" t="n">
        <f aca="false">F112-E112</f>
        <v>335.78</v>
      </c>
      <c r="H112" s="22" t="n">
        <f aca="false">D112-$B$13</f>
        <v>-158.148263157895</v>
      </c>
      <c r="I112" s="22" t="n">
        <f aca="false">G112-$B$14</f>
        <v>768.56752631579</v>
      </c>
      <c r="J112" s="23" t="n">
        <f aca="false">H112^2</f>
        <v>25010.8731398587</v>
      </c>
      <c r="K112" s="23" t="n">
        <f aca="false">I112^2</f>
        <v>590696.042507173</v>
      </c>
      <c r="L112" s="23" t="n">
        <f aca="false">H112*I112</f>
        <v>-121547.619406402</v>
      </c>
    </row>
    <row r="113" customFormat="false" ht="15" hidden="false" customHeight="false" outlineLevel="0" collapsed="false">
      <c r="A113" s="21" t="s">
        <v>137</v>
      </c>
      <c r="B113" s="22" t="n">
        <v>5430.77</v>
      </c>
      <c r="C113" s="22" t="n">
        <v>7688.64</v>
      </c>
      <c r="D113" s="22" t="n">
        <f aca="false">C113-B113</f>
        <v>2257.87</v>
      </c>
      <c r="E113" s="22" t="n">
        <v>3816.21</v>
      </c>
      <c r="F113" s="22" t="n">
        <v>3784.87</v>
      </c>
      <c r="G113" s="22" t="n">
        <f aca="false">F113-E113</f>
        <v>-31.3400000000001</v>
      </c>
      <c r="H113" s="22" t="n">
        <f aca="false">D113-$B$13</f>
        <v>1813.22173684211</v>
      </c>
      <c r="I113" s="22" t="n">
        <f aca="false">G113-$B$14</f>
        <v>401.44752631579</v>
      </c>
      <c r="J113" s="23" t="n">
        <f aca="false">H113^2</f>
        <v>3287773.0669567</v>
      </c>
      <c r="K113" s="23" t="n">
        <f aca="false">I113^2</f>
        <v>161160.116385067</v>
      </c>
      <c r="L113" s="23" t="n">
        <f aca="false">H113*I113</f>
        <v>727913.380917283</v>
      </c>
    </row>
    <row r="114" customFormat="false" ht="15" hidden="false" customHeight="false" outlineLevel="0" collapsed="false">
      <c r="A114" s="21" t="s">
        <v>138</v>
      </c>
      <c r="B114" s="22" t="n">
        <v>12</v>
      </c>
      <c r="C114" s="22" t="n">
        <v>14</v>
      </c>
      <c r="D114" s="22" t="n">
        <f aca="false">C114-B114</f>
        <v>2</v>
      </c>
      <c r="E114" s="22" t="n">
        <v>4.99</v>
      </c>
      <c r="F114" s="22" t="n">
        <v>6.3</v>
      </c>
      <c r="G114" s="22" t="n">
        <f aca="false">F114-E114</f>
        <v>1.31</v>
      </c>
      <c r="H114" s="22" t="n">
        <f aca="false">D114-$B$13</f>
        <v>-442.648263157895</v>
      </c>
      <c r="I114" s="22" t="n">
        <f aca="false">G114-$B$14</f>
        <v>434.09752631579</v>
      </c>
      <c r="J114" s="23" t="n">
        <f aca="false">H114^2</f>
        <v>195937.484876701</v>
      </c>
      <c r="K114" s="23" t="n">
        <f aca="false">I114^2</f>
        <v>188440.662353488</v>
      </c>
      <c r="L114" s="23" t="n">
        <f aca="false">H114*I114</f>
        <v>-192152.516064823</v>
      </c>
    </row>
    <row r="115" customFormat="false" ht="15" hidden="false" customHeight="false" outlineLevel="0" collapsed="false">
      <c r="A115" s="21" t="s">
        <v>139</v>
      </c>
      <c r="B115" s="22" t="n">
        <v>1423</v>
      </c>
      <c r="C115" s="22" t="n">
        <v>1365.3</v>
      </c>
      <c r="D115" s="22" t="n">
        <f aca="false">C115-B115</f>
        <v>-57.7</v>
      </c>
      <c r="E115" s="22" t="n">
        <v>1180.9</v>
      </c>
      <c r="F115" s="22" t="n">
        <v>1255.35</v>
      </c>
      <c r="G115" s="22" t="n">
        <f aca="false">F115-E115</f>
        <v>74.4499999999998</v>
      </c>
      <c r="H115" s="22" t="n">
        <f aca="false">D115-$B$13</f>
        <v>-502.348263157895</v>
      </c>
      <c r="I115" s="22" t="n">
        <f aca="false">G115-$B$14</f>
        <v>507.23752631579</v>
      </c>
      <c r="J115" s="23" t="n">
        <f aca="false">H115^2</f>
        <v>252353.777497754</v>
      </c>
      <c r="K115" s="23" t="n">
        <f aca="false">I115^2</f>
        <v>257289.908102962</v>
      </c>
      <c r="L115" s="23" t="n">
        <f aca="false">H115*I115</f>
        <v>-254809.890353244</v>
      </c>
    </row>
    <row r="116" customFormat="false" ht="15" hidden="false" customHeight="false" outlineLevel="0" collapsed="false">
      <c r="A116" s="21" t="s">
        <v>140</v>
      </c>
      <c r="B116" s="22" t="n">
        <v>1001</v>
      </c>
      <c r="C116" s="22" t="n">
        <v>1605.06</v>
      </c>
      <c r="D116" s="22" t="n">
        <f aca="false">C116-B116</f>
        <v>604.06</v>
      </c>
      <c r="E116" s="22" t="n">
        <v>14050.04</v>
      </c>
      <c r="F116" s="22" t="n">
        <v>13106.71</v>
      </c>
      <c r="G116" s="22" t="n">
        <f aca="false">F116-E116</f>
        <v>-943.330000000002</v>
      </c>
      <c r="H116" s="22" t="n">
        <f aca="false">D116-$B$13</f>
        <v>159.411736842105</v>
      </c>
      <c r="I116" s="22" t="n">
        <f aca="false">G116-$B$14</f>
        <v>-510.542473684212</v>
      </c>
      <c r="J116" s="23" t="n">
        <f aca="false">H116^2</f>
        <v>25412.1018430166</v>
      </c>
      <c r="K116" s="23" t="n">
        <f aca="false">I116^2</f>
        <v>260653.617435594</v>
      </c>
      <c r="L116" s="23" t="n">
        <f aca="false">H116*I116</f>
        <v>-81386.462461665</v>
      </c>
    </row>
    <row r="117" customFormat="false" ht="15" hidden="false" customHeight="false" outlineLevel="0" collapsed="false">
      <c r="A117" s="21" t="s">
        <v>141</v>
      </c>
      <c r="B117" s="22" t="n">
        <v>982</v>
      </c>
      <c r="C117" s="22" t="n">
        <v>1370</v>
      </c>
      <c r="D117" s="22" t="n">
        <f aca="false">C117-B117</f>
        <v>388</v>
      </c>
      <c r="E117" s="22" t="n">
        <v>3241</v>
      </c>
      <c r="F117" s="22" t="n">
        <v>3453.83</v>
      </c>
      <c r="G117" s="22" t="n">
        <f aca="false">F117-E117</f>
        <v>212.83</v>
      </c>
      <c r="H117" s="22" t="n">
        <f aca="false">D117-$B$13</f>
        <v>-56.6482631578947</v>
      </c>
      <c r="I117" s="22" t="n">
        <f aca="false">G117-$B$14</f>
        <v>645.61752631579</v>
      </c>
      <c r="J117" s="23" t="n">
        <f aca="false">H117^2</f>
        <v>3209.0257188061</v>
      </c>
      <c r="K117" s="23" t="n">
        <f aca="false">I117^2</f>
        <v>416821.99028612</v>
      </c>
      <c r="L117" s="23" t="n">
        <f aca="false">H117*I117</f>
        <v>-36573.1115300859</v>
      </c>
    </row>
    <row r="118" customFormat="false" ht="15" hidden="false" customHeight="false" outlineLevel="0" collapsed="false">
      <c r="A118" s="21" t="s">
        <v>142</v>
      </c>
      <c r="B118" s="22" t="n">
        <v>270</v>
      </c>
      <c r="C118" s="22" t="n">
        <v>275.95</v>
      </c>
      <c r="D118" s="22" t="n">
        <f aca="false">C118-B118</f>
        <v>5.94999999999999</v>
      </c>
      <c r="E118" s="22" t="n">
        <v>138.89</v>
      </c>
      <c r="F118" s="22" t="n">
        <v>141.13</v>
      </c>
      <c r="G118" s="22" t="n">
        <f aca="false">F118-E118</f>
        <v>2.24000000000001</v>
      </c>
      <c r="H118" s="22" t="n">
        <f aca="false">D118-$B$13</f>
        <v>-438.698263157895</v>
      </c>
      <c r="I118" s="22" t="n">
        <f aca="false">G118-$B$14</f>
        <v>435.02752631579</v>
      </c>
      <c r="J118" s="23" t="n">
        <f aca="false">H118^2</f>
        <v>192456.166097753</v>
      </c>
      <c r="K118" s="23" t="n">
        <f aca="false">I118^2</f>
        <v>189248.948652435</v>
      </c>
      <c r="L118" s="23" t="n">
        <f aca="false">H118*I118</f>
        <v>-190845.820220612</v>
      </c>
    </row>
    <row r="119" customFormat="false" ht="15" hidden="false" customHeight="false" outlineLevel="0" collapsed="false">
      <c r="A119" s="21" t="s">
        <v>143</v>
      </c>
      <c r="B119" s="22" t="n">
        <v>325.5</v>
      </c>
      <c r="C119" s="22" t="n">
        <v>583</v>
      </c>
      <c r="D119" s="22" t="n">
        <f aca="false">C119-B119</f>
        <v>257.5</v>
      </c>
      <c r="E119" s="22" t="n">
        <v>34.52</v>
      </c>
      <c r="F119" s="22" t="n">
        <v>34.52</v>
      </c>
      <c r="G119" s="22" t="n">
        <f aca="false">F119-E119</f>
        <v>0</v>
      </c>
      <c r="H119" s="22" t="n">
        <f aca="false">D119-$B$13</f>
        <v>-187.148263157895</v>
      </c>
      <c r="I119" s="22" t="n">
        <f aca="false">G119-$B$14</f>
        <v>432.78752631579</v>
      </c>
      <c r="J119" s="23" t="n">
        <f aca="false">H119^2</f>
        <v>35024.4724030166</v>
      </c>
      <c r="K119" s="23" t="n">
        <f aca="false">I119^2</f>
        <v>187305.042934541</v>
      </c>
      <c r="L119" s="23" t="n">
        <f aca="false">H119*I119</f>
        <v>-80995.4338664018</v>
      </c>
    </row>
    <row r="120" customFormat="false" ht="15" hidden="false" customHeight="false" outlineLevel="0" collapsed="false">
      <c r="A120" s="21" t="s">
        <v>144</v>
      </c>
      <c r="B120" s="22" t="n">
        <v>610</v>
      </c>
      <c r="C120" s="22" t="n">
        <v>710.71</v>
      </c>
      <c r="D120" s="22" t="n">
        <f aca="false">C120-B120</f>
        <v>100.71</v>
      </c>
      <c r="E120" s="22" t="n">
        <v>8008.76</v>
      </c>
      <c r="F120" s="22" t="n">
        <v>6407.68</v>
      </c>
      <c r="G120" s="22" t="n">
        <f aca="false">F120-E120</f>
        <v>-1601.08</v>
      </c>
      <c r="H120" s="22" t="n">
        <f aca="false">D120-$B$13</f>
        <v>-343.938263157895</v>
      </c>
      <c r="I120" s="22" t="n">
        <f aca="false">G120-$B$14</f>
        <v>-1168.29247368421</v>
      </c>
      <c r="J120" s="23" t="n">
        <f aca="false">H120^2</f>
        <v>118293.528864069</v>
      </c>
      <c r="K120" s="23" t="n">
        <f aca="false">I120^2</f>
        <v>1364907.30406717</v>
      </c>
      <c r="L120" s="23" t="n">
        <f aca="false">H120*I120</f>
        <v>401820.484259388</v>
      </c>
    </row>
    <row r="121" customFormat="false" ht="15" hidden="false" customHeight="false" outlineLevel="0" collapsed="false">
      <c r="A121" s="21" t="s">
        <v>145</v>
      </c>
      <c r="B121" s="22" t="n">
        <v>2150</v>
      </c>
      <c r="C121" s="22" t="n">
        <v>2050</v>
      </c>
      <c r="D121" s="22" t="n">
        <f aca="false">C121-B121</f>
        <v>-100</v>
      </c>
      <c r="E121" s="22" t="n">
        <v>213.67</v>
      </c>
      <c r="F121" s="22" t="n">
        <v>206</v>
      </c>
      <c r="G121" s="22" t="n">
        <f aca="false">F121-E121</f>
        <v>-7.66999999999999</v>
      </c>
      <c r="H121" s="22" t="n">
        <f aca="false">D121-$B$13</f>
        <v>-544.648263157895</v>
      </c>
      <c r="I121" s="22" t="n">
        <f aca="false">G121-$B$14</f>
        <v>425.11752631579</v>
      </c>
      <c r="J121" s="23" t="n">
        <f aca="false">H121^2</f>
        <v>296641.730560911</v>
      </c>
      <c r="K121" s="23" t="n">
        <f aca="false">I121^2</f>
        <v>180724.911180856</v>
      </c>
      <c r="L121" s="23" t="n">
        <f aca="false">H121*I121</f>
        <v>-231539.522345876</v>
      </c>
    </row>
    <row r="122" customFormat="false" ht="15" hidden="false" customHeight="false" outlineLevel="0" collapsed="false">
      <c r="A122" s="21" t="s">
        <v>146</v>
      </c>
      <c r="B122" s="22" t="n">
        <v>2921</v>
      </c>
      <c r="C122" s="22" t="n">
        <v>2336</v>
      </c>
      <c r="D122" s="22" t="n">
        <f aca="false">C122-B122</f>
        <v>-585</v>
      </c>
      <c r="E122" s="22" t="n">
        <v>2020</v>
      </c>
      <c r="F122" s="22" t="n">
        <v>2210.68</v>
      </c>
      <c r="G122" s="22" t="n">
        <f aca="false">F122-E122</f>
        <v>190.68</v>
      </c>
      <c r="H122" s="22" t="n">
        <f aca="false">D122-$B$13</f>
        <v>-1029.64826315789</v>
      </c>
      <c r="I122" s="22" t="n">
        <f aca="false">G122-$B$14</f>
        <v>623.46752631579</v>
      </c>
      <c r="J122" s="23" t="n">
        <f aca="false">H122^2</f>
        <v>1060175.54582407</v>
      </c>
      <c r="K122" s="23" t="n">
        <f aca="false">I122^2</f>
        <v>388711.75637033</v>
      </c>
      <c r="L122" s="23" t="n">
        <f aca="false">H122*I122</f>
        <v>-641952.255606402</v>
      </c>
    </row>
    <row r="123" customFormat="false" ht="15" hidden="false" customHeight="false" outlineLevel="0" collapsed="false">
      <c r="A123" s="21" t="s">
        <v>147</v>
      </c>
      <c r="B123" s="22" t="n">
        <v>63</v>
      </c>
      <c r="C123" s="22" t="n">
        <v>62.88</v>
      </c>
      <c r="D123" s="22" t="n">
        <f aca="false">C123-B123</f>
        <v>-0.119999999999997</v>
      </c>
      <c r="E123" s="22" t="n">
        <v>86.7</v>
      </c>
      <c r="F123" s="22" t="n">
        <v>88.7</v>
      </c>
      <c r="G123" s="22" t="n">
        <f aca="false">F123-E123</f>
        <v>2</v>
      </c>
      <c r="H123" s="22" t="n">
        <f aca="false">D123-$B$13</f>
        <v>-444.768263157895</v>
      </c>
      <c r="I123" s="22" t="n">
        <f aca="false">G123-$B$14</f>
        <v>434.78752631579</v>
      </c>
      <c r="J123" s="23" t="n">
        <f aca="false">H123^2</f>
        <v>197818.80791249</v>
      </c>
      <c r="K123" s="23" t="n">
        <f aca="false">I123^2</f>
        <v>189040.193039804</v>
      </c>
      <c r="L123" s="23" t="n">
        <f aca="false">H123*I123</f>
        <v>-193379.692922191</v>
      </c>
    </row>
    <row r="124" customFormat="false" ht="15" hidden="false" customHeight="false" outlineLevel="0" collapsed="false">
      <c r="A124" s="21" t="s">
        <v>148</v>
      </c>
      <c r="B124" s="22" t="n">
        <v>3452.1</v>
      </c>
      <c r="C124" s="22" t="n">
        <v>3639.58</v>
      </c>
      <c r="D124" s="22" t="n">
        <f aca="false">C124-B124</f>
        <v>187.48</v>
      </c>
      <c r="E124" s="22" t="n">
        <v>13014.36</v>
      </c>
      <c r="F124" s="22" t="n">
        <v>10170.64</v>
      </c>
      <c r="G124" s="22" t="n">
        <f aca="false">F124-E124</f>
        <v>-2843.72</v>
      </c>
      <c r="H124" s="22" t="n">
        <f aca="false">D124-$B$13</f>
        <v>-257.168263157895</v>
      </c>
      <c r="I124" s="22" t="n">
        <f aca="false">G124-$B$14</f>
        <v>-2410.93247368421</v>
      </c>
      <c r="J124" s="23" t="n">
        <f aca="false">H124^2</f>
        <v>66135.5155756482</v>
      </c>
      <c r="K124" s="23" t="n">
        <f aca="false">I124^2</f>
        <v>5812595.39266507</v>
      </c>
      <c r="L124" s="23" t="n">
        <f aca="false">H124*I124</f>
        <v>620015.316848335</v>
      </c>
    </row>
    <row r="125" customFormat="false" ht="15" hidden="false" customHeight="false" outlineLevel="0" collapsed="false">
      <c r="A125" s="21" t="s">
        <v>149</v>
      </c>
      <c r="B125" s="22" t="n">
        <v>2879.5</v>
      </c>
      <c r="C125" s="22" t="n">
        <v>4282.19</v>
      </c>
      <c r="D125" s="22" t="n">
        <f aca="false">C125-B125</f>
        <v>1402.69</v>
      </c>
      <c r="E125" s="22" t="n">
        <v>3081.7</v>
      </c>
      <c r="F125" s="22" t="n">
        <v>2115.7</v>
      </c>
      <c r="G125" s="22" t="n">
        <f aca="false">F125-E125</f>
        <v>-966</v>
      </c>
      <c r="H125" s="22" t="n">
        <f aca="false">D125-$B$13</f>
        <v>958.041736842105</v>
      </c>
      <c r="I125" s="22" t="n">
        <f aca="false">G125-$B$14</f>
        <v>-533.21247368421</v>
      </c>
      <c r="J125" s="23" t="n">
        <f aca="false">H125^2</f>
        <v>917843.969531437</v>
      </c>
      <c r="K125" s="23" t="n">
        <f aca="false">I125^2</f>
        <v>284315.542092434</v>
      </c>
      <c r="L125" s="23" t="n">
        <f aca="false">H125*I125</f>
        <v>-510839.804394296</v>
      </c>
    </row>
    <row r="126" customFormat="false" ht="15" hidden="false" customHeight="false" outlineLevel="0" collapsed="false">
      <c r="A126" s="21" t="s">
        <v>150</v>
      </c>
      <c r="B126" s="22" t="n">
        <v>6982.59</v>
      </c>
      <c r="C126" s="22" t="n">
        <v>7925.23</v>
      </c>
      <c r="D126" s="22" t="n">
        <f aca="false">C126-B126</f>
        <v>942.639999999999</v>
      </c>
      <c r="E126" s="22" t="n">
        <v>19691.35</v>
      </c>
      <c r="F126" s="22" t="n">
        <v>19004.74</v>
      </c>
      <c r="G126" s="22" t="n">
        <f aca="false">F126-E126</f>
        <v>-686.609999999997</v>
      </c>
      <c r="H126" s="22" t="n">
        <f aca="false">D126-$B$13</f>
        <v>497.991736842105</v>
      </c>
      <c r="I126" s="22" t="n">
        <f aca="false">G126-$B$14</f>
        <v>-253.822473684207</v>
      </c>
      <c r="J126" s="23" t="n">
        <f aca="false">H126^2</f>
        <v>247995.769963016</v>
      </c>
      <c r="K126" s="23" t="n">
        <f aca="false">I126^2</f>
        <v>64425.84814717</v>
      </c>
      <c r="L126" s="23" t="n">
        <f aca="false">H126*I126</f>
        <v>-126401.494519558</v>
      </c>
    </row>
    <row r="127" customFormat="false" ht="15" hidden="false" customHeight="false" outlineLevel="0" collapsed="false">
      <c r="A127" s="21" t="s">
        <v>151</v>
      </c>
      <c r="B127" s="22" t="n">
        <v>8</v>
      </c>
      <c r="C127" s="22" t="n">
        <v>4.9</v>
      </c>
      <c r="D127" s="22" t="n">
        <f aca="false">C127-B127</f>
        <v>-3.1</v>
      </c>
      <c r="E127" s="22" t="n">
        <v>3.72</v>
      </c>
      <c r="F127" s="22" t="n">
        <v>3.72</v>
      </c>
      <c r="G127" s="22" t="n">
        <f aca="false">F127-E127</f>
        <v>0</v>
      </c>
      <c r="H127" s="22" t="n">
        <f aca="false">D127-$B$13</f>
        <v>-447.748263157895</v>
      </c>
      <c r="I127" s="22" t="n">
        <f aca="false">G127-$B$14</f>
        <v>432.78752631579</v>
      </c>
      <c r="J127" s="23" t="n">
        <f aca="false">H127^2</f>
        <v>200478.507160911</v>
      </c>
      <c r="K127" s="23" t="n">
        <f aca="false">I127^2</f>
        <v>187305.042934541</v>
      </c>
      <c r="L127" s="23" t="n">
        <f aca="false">H127*I127</f>
        <v>-193779.863224297</v>
      </c>
    </row>
    <row r="128" customFormat="false" ht="15" hidden="false" customHeight="false" outlineLevel="0" collapsed="false">
      <c r="A128" s="21" t="s">
        <v>152</v>
      </c>
      <c r="B128" s="22" t="n">
        <v>4658</v>
      </c>
      <c r="C128" s="22" t="n">
        <v>7038.6</v>
      </c>
      <c r="D128" s="22" t="n">
        <f aca="false">C128-B128</f>
        <v>2380.6</v>
      </c>
      <c r="E128" s="22" t="n">
        <v>12992.9</v>
      </c>
      <c r="F128" s="22" t="n">
        <v>10680.34</v>
      </c>
      <c r="G128" s="22" t="n">
        <f aca="false">F128-E128</f>
        <v>-2312.56</v>
      </c>
      <c r="H128" s="22" t="n">
        <f aca="false">D128-$B$13</f>
        <v>1935.95173684211</v>
      </c>
      <c r="I128" s="22" t="n">
        <f aca="false">G128-$B$14</f>
        <v>-1879.77247368421</v>
      </c>
      <c r="J128" s="23" t="n">
        <f aca="false">H128^2</f>
        <v>3747909.12738197</v>
      </c>
      <c r="K128" s="23" t="n">
        <f aca="false">I128^2</f>
        <v>3533544.55282085</v>
      </c>
      <c r="L128" s="23" t="n">
        <f aca="false">H128*I128</f>
        <v>-3639148.78529693</v>
      </c>
    </row>
    <row r="129" customFormat="false" ht="15" hidden="false" customHeight="false" outlineLevel="0" collapsed="false">
      <c r="A129" s="21" t="s">
        <v>153</v>
      </c>
      <c r="B129" s="22" t="n">
        <v>9</v>
      </c>
      <c r="C129" s="22" t="n">
        <v>8.29</v>
      </c>
      <c r="D129" s="22" t="n">
        <f aca="false">C129-B129</f>
        <v>-0.710000000000001</v>
      </c>
      <c r="E129" s="22" t="n">
        <v>0.35</v>
      </c>
      <c r="F129" s="22" t="n">
        <v>0.47</v>
      </c>
      <c r="G129" s="22" t="n">
        <f aca="false">F129-E129</f>
        <v>0.12</v>
      </c>
      <c r="H129" s="22" t="n">
        <f aca="false">D129-$B$13</f>
        <v>-445.358263157895</v>
      </c>
      <c r="I129" s="22" t="n">
        <f aca="false">G129-$B$14</f>
        <v>432.90752631579</v>
      </c>
      <c r="J129" s="23" t="n">
        <f aca="false">H129^2</f>
        <v>198343.982563017</v>
      </c>
      <c r="K129" s="23" t="n">
        <f aca="false">I129^2</f>
        <v>187408.926340856</v>
      </c>
      <c r="L129" s="23" t="n">
        <f aca="false">H129*I129</f>
        <v>-192798.944027981</v>
      </c>
    </row>
    <row r="130" customFormat="false" ht="15" hidden="false" customHeight="false" outlineLevel="0" collapsed="false">
      <c r="A130" s="21" t="s">
        <v>154</v>
      </c>
      <c r="B130" s="22" t="n">
        <v>21</v>
      </c>
      <c r="C130" s="22" t="n">
        <v>16.85</v>
      </c>
      <c r="D130" s="22" t="n">
        <f aca="false">C130-B130</f>
        <v>-4.15</v>
      </c>
      <c r="E130" s="22" t="n">
        <v>48.74</v>
      </c>
      <c r="F130" s="22" t="n">
        <v>52.52</v>
      </c>
      <c r="G130" s="22" t="n">
        <f aca="false">F130-E130</f>
        <v>3.78</v>
      </c>
      <c r="H130" s="22" t="n">
        <f aca="false">D130-$B$13</f>
        <v>-448.798263157895</v>
      </c>
      <c r="I130" s="22" t="n">
        <f aca="false">G130-$B$14</f>
        <v>436.56752631579</v>
      </c>
      <c r="J130" s="23" t="n">
        <f aca="false">H130^2</f>
        <v>201419.881013543</v>
      </c>
      <c r="K130" s="23" t="n">
        <f aca="false">I130^2</f>
        <v>190591.205033488</v>
      </c>
      <c r="L130" s="23" t="n">
        <f aca="false">H130*I130</f>
        <v>-195930.747561665</v>
      </c>
    </row>
    <row r="131" customFormat="false" ht="15" hidden="false" customHeight="false" outlineLevel="0" collapsed="false">
      <c r="A131" s="21" t="s">
        <v>155</v>
      </c>
      <c r="B131" s="22" t="n">
        <v>460</v>
      </c>
      <c r="C131" s="22" t="n">
        <v>460</v>
      </c>
      <c r="D131" s="22" t="n">
        <f aca="false">C131-B131</f>
        <v>0</v>
      </c>
      <c r="E131" s="22" t="n">
        <v>953.43</v>
      </c>
      <c r="F131" s="22" t="n">
        <v>1013.87</v>
      </c>
      <c r="G131" s="22" t="n">
        <f aca="false">F131-E131</f>
        <v>60.4400000000001</v>
      </c>
      <c r="H131" s="22" t="n">
        <f aca="false">D131-$B$13</f>
        <v>-444.648263157895</v>
      </c>
      <c r="I131" s="22" t="n">
        <f aca="false">G131-$B$14</f>
        <v>493.22752631579</v>
      </c>
      <c r="J131" s="23" t="n">
        <f aca="false">H131^2</f>
        <v>197712.077929332</v>
      </c>
      <c r="K131" s="23" t="n">
        <f aca="false">I131^2</f>
        <v>243273.392715593</v>
      </c>
      <c r="L131" s="23" t="n">
        <f aca="false">H131*I131</f>
        <v>-219312.762917981</v>
      </c>
    </row>
    <row r="132" customFormat="false" ht="15" hidden="false" customHeight="false" outlineLevel="0" collapsed="false">
      <c r="A132" s="21" t="s">
        <v>156</v>
      </c>
      <c r="B132" s="22" t="n">
        <v>99.34</v>
      </c>
      <c r="C132" s="22" t="n">
        <v>74.62</v>
      </c>
      <c r="D132" s="22" t="n">
        <f aca="false">C132-B132</f>
        <v>-24.72</v>
      </c>
      <c r="E132" s="22" t="n">
        <v>41.93</v>
      </c>
      <c r="F132" s="22" t="n">
        <v>38.29</v>
      </c>
      <c r="G132" s="22" t="n">
        <f aca="false">F132-E132</f>
        <v>-3.64</v>
      </c>
      <c r="H132" s="22" t="n">
        <f aca="false">D132-$B$13</f>
        <v>-469.368263157895</v>
      </c>
      <c r="I132" s="22" t="n">
        <f aca="false">G132-$B$14</f>
        <v>429.14752631579</v>
      </c>
      <c r="J132" s="23" t="n">
        <f aca="false">H132^2</f>
        <v>220306.566459859</v>
      </c>
      <c r="K132" s="23" t="n">
        <f aca="false">I132^2</f>
        <v>184167.599342962</v>
      </c>
      <c r="L132" s="23" t="n">
        <f aca="false">H132*I132</f>
        <v>-201428.229065349</v>
      </c>
    </row>
    <row r="133" customFormat="false" ht="15" hidden="false" customHeight="false" outlineLevel="0" collapsed="false">
      <c r="A133" s="21" t="s">
        <v>157</v>
      </c>
      <c r="B133" s="22" t="n">
        <v>25378</v>
      </c>
      <c r="C133" s="22" t="n">
        <v>24445.71</v>
      </c>
      <c r="D133" s="22" t="n">
        <f aca="false">C133-B133</f>
        <v>-932.290000000001</v>
      </c>
      <c r="E133" s="22" t="n">
        <v>69593.66</v>
      </c>
      <c r="F133" s="22" t="n">
        <v>66521.12</v>
      </c>
      <c r="G133" s="22" t="n">
        <f aca="false">F133-E133</f>
        <v>-3072.54000000001</v>
      </c>
      <c r="H133" s="22" t="n">
        <f aca="false">D133-$B$13</f>
        <v>-1376.9382631579</v>
      </c>
      <c r="I133" s="22" t="n">
        <f aca="false">G133-$B$14</f>
        <v>-2639.75247368422</v>
      </c>
      <c r="J133" s="23" t="n">
        <f aca="false">H133^2</f>
        <v>1895958.98054828</v>
      </c>
      <c r="K133" s="23" t="n">
        <f aca="false">I133^2</f>
        <v>6968293.12232195</v>
      </c>
      <c r="L133" s="23" t="n">
        <f aca="false">H133*I133</f>
        <v>3634776.18628151</v>
      </c>
    </row>
    <row r="134" customFormat="false" ht="15" hidden="false" customHeight="false" outlineLevel="0" collapsed="false">
      <c r="A134" s="21" t="s">
        <v>158</v>
      </c>
      <c r="B134" s="22" t="n">
        <v>2.89</v>
      </c>
      <c r="C134" s="22" t="n">
        <v>2.4</v>
      </c>
      <c r="D134" s="22" t="n">
        <f aca="false">C134-B134</f>
        <v>-0.49</v>
      </c>
      <c r="E134" s="22" t="n">
        <v>63.86</v>
      </c>
      <c r="F134" s="22" t="n">
        <v>64.51</v>
      </c>
      <c r="G134" s="22" t="n">
        <f aca="false">F134-E134</f>
        <v>0.650000000000006</v>
      </c>
      <c r="H134" s="22" t="n">
        <f aca="false">D134-$B$13</f>
        <v>-445.138263157895</v>
      </c>
      <c r="I134" s="22" t="n">
        <f aca="false">G134-$B$14</f>
        <v>433.43752631579</v>
      </c>
      <c r="J134" s="23" t="n">
        <f aca="false">H134^2</f>
        <v>198148.073327227</v>
      </c>
      <c r="K134" s="23" t="n">
        <f aca="false">I134^2</f>
        <v>187868.089218751</v>
      </c>
      <c r="L134" s="23" t="n">
        <f aca="false">H134*I134</f>
        <v>-192939.627651665</v>
      </c>
    </row>
    <row r="135" customFormat="false" ht="15" hidden="false" customHeight="false" outlineLevel="0" collapsed="false">
      <c r="A135" s="21" t="s">
        <v>159</v>
      </c>
      <c r="B135" s="22" t="n">
        <v>1176</v>
      </c>
      <c r="C135" s="22" t="n">
        <v>1148.97</v>
      </c>
      <c r="D135" s="22" t="n">
        <f aca="false">C135-B135</f>
        <v>-27.03</v>
      </c>
      <c r="E135" s="22" t="n">
        <v>14263.9</v>
      </c>
      <c r="F135" s="22" t="n">
        <v>14178.33</v>
      </c>
      <c r="G135" s="22" t="n">
        <f aca="false">F135-E135</f>
        <v>-85.5699999999997</v>
      </c>
      <c r="H135" s="22" t="n">
        <f aca="false">D135-$B$13</f>
        <v>-471.678263157895</v>
      </c>
      <c r="I135" s="22" t="n">
        <f aca="false">G135-$B$14</f>
        <v>347.21752631579</v>
      </c>
      <c r="J135" s="23" t="n">
        <f aca="false">H135^2</f>
        <v>222480.383935648</v>
      </c>
      <c r="K135" s="23" t="n">
        <f aca="false">I135^2</f>
        <v>120560.010580856</v>
      </c>
      <c r="L135" s="23" t="n">
        <f aca="false">H135*I135</f>
        <v>-163774.959750613</v>
      </c>
    </row>
    <row r="136" customFormat="false" ht="15" hidden="false" customHeight="false" outlineLevel="0" collapsed="false">
      <c r="A136" s="21" t="s">
        <v>160</v>
      </c>
      <c r="B136" s="22" t="n">
        <v>9652</v>
      </c>
      <c r="C136" s="22" t="n">
        <v>9000</v>
      </c>
      <c r="D136" s="22" t="n">
        <f aca="false">C136-B136</f>
        <v>-652</v>
      </c>
      <c r="E136" s="22" t="n">
        <v>5698.67</v>
      </c>
      <c r="F136" s="22" t="n">
        <v>5694.71</v>
      </c>
      <c r="G136" s="22" t="n">
        <f aca="false">F136-E136</f>
        <v>-3.96000000000004</v>
      </c>
      <c r="H136" s="22" t="n">
        <f aca="false">D136-$B$13</f>
        <v>-1096.64826315789</v>
      </c>
      <c r="I136" s="22" t="n">
        <f aca="false">G136-$B$14</f>
        <v>428.82752631579</v>
      </c>
      <c r="J136" s="23" t="n">
        <f aca="false">H136^2</f>
        <v>1202637.41308723</v>
      </c>
      <c r="K136" s="23" t="n">
        <f aca="false">I136^2</f>
        <v>183893.047326119</v>
      </c>
      <c r="L136" s="23" t="n">
        <f aca="false">H136*I136</f>
        <v>-470272.961928507</v>
      </c>
    </row>
    <row r="137" customFormat="false" ht="15" hidden="false" customHeight="false" outlineLevel="0" collapsed="false">
      <c r="A137" s="21" t="s">
        <v>161</v>
      </c>
      <c r="B137" s="22" t="n">
        <v>5868.04</v>
      </c>
      <c r="C137" s="22" t="n">
        <v>8683.28</v>
      </c>
      <c r="D137" s="22" t="n">
        <f aca="false">C137-B137</f>
        <v>2815.24</v>
      </c>
      <c r="E137" s="22" t="n">
        <v>38918.62</v>
      </c>
      <c r="F137" s="22" t="n">
        <v>32776.96</v>
      </c>
      <c r="G137" s="22" t="n">
        <f aca="false">F137-E137</f>
        <v>-6141.66</v>
      </c>
      <c r="H137" s="22" t="n">
        <f aca="false">D137-$B$13</f>
        <v>2370.59173684211</v>
      </c>
      <c r="I137" s="22" t="n">
        <f aca="false">G137-$B$14</f>
        <v>-5708.87247368421</v>
      </c>
      <c r="J137" s="23" t="n">
        <f aca="false">H137^2</f>
        <v>5619705.18278407</v>
      </c>
      <c r="K137" s="23" t="n">
        <f aca="false">I137^2</f>
        <v>32591224.9207893</v>
      </c>
      <c r="L137" s="23" t="n">
        <f aca="false">H137*I137</f>
        <v>-13533405.9128011</v>
      </c>
    </row>
    <row r="138" customFormat="false" ht="15" hidden="false" customHeight="false" outlineLevel="0" collapsed="false">
      <c r="A138" s="21" t="s">
        <v>162</v>
      </c>
      <c r="B138" s="22" t="n">
        <v>10498</v>
      </c>
      <c r="C138" s="22" t="n">
        <v>12517.34</v>
      </c>
      <c r="D138" s="22" t="n">
        <f aca="false">C138-B138</f>
        <v>2019.34</v>
      </c>
      <c r="E138" s="22" t="n">
        <v>34868.11</v>
      </c>
      <c r="F138" s="22" t="n">
        <v>27674.74</v>
      </c>
      <c r="G138" s="22" t="n">
        <f aca="false">F138-E138</f>
        <v>-7193.37</v>
      </c>
      <c r="H138" s="22" t="n">
        <f aca="false">D138-$B$13</f>
        <v>1574.69173684211</v>
      </c>
      <c r="I138" s="22" t="n">
        <f aca="false">G138-$B$14</f>
        <v>-6760.58247368421</v>
      </c>
      <c r="J138" s="23" t="n">
        <f aca="false">H138^2</f>
        <v>2479654.06607881</v>
      </c>
      <c r="K138" s="23" t="n">
        <f aca="false">I138^2</f>
        <v>45705475.3834861</v>
      </c>
      <c r="L138" s="23" t="n">
        <f aca="false">H138*I138</f>
        <v>-10645833.3575501</v>
      </c>
    </row>
    <row r="139" customFormat="false" ht="15" hidden="false" customHeight="false" outlineLevel="0" collapsed="false">
      <c r="A139" s="21" t="s">
        <v>163</v>
      </c>
      <c r="B139" s="22" t="n">
        <v>820</v>
      </c>
      <c r="C139" s="22" t="n">
        <v>812</v>
      </c>
      <c r="D139" s="22" t="n">
        <f aca="false">C139-B139</f>
        <v>-8</v>
      </c>
      <c r="E139" s="22" t="n">
        <v>8059.08</v>
      </c>
      <c r="F139" s="22" t="n">
        <v>8044.25</v>
      </c>
      <c r="G139" s="22" t="n">
        <f aca="false">F139-E139</f>
        <v>-14.8299999999999</v>
      </c>
      <c r="H139" s="22" t="n">
        <f aca="false">D139-$B$13</f>
        <v>-452.648263157895</v>
      </c>
      <c r="I139" s="22" t="n">
        <f aca="false">G139-$B$14</f>
        <v>417.95752631579</v>
      </c>
      <c r="J139" s="23" t="n">
        <f aca="false">H139^2</f>
        <v>204890.450139859</v>
      </c>
      <c r="K139" s="23" t="n">
        <f aca="false">I139^2</f>
        <v>174688.493804014</v>
      </c>
      <c r="L139" s="23" t="n">
        <f aca="false">H139*I139</f>
        <v>-189187.748360612</v>
      </c>
    </row>
    <row r="140" customFormat="false" ht="15" hidden="false" customHeight="false" outlineLevel="0" collapsed="false">
      <c r="A140" s="21" t="s">
        <v>164</v>
      </c>
      <c r="B140" s="22" t="n">
        <v>2463.1</v>
      </c>
      <c r="C140" s="22" t="n">
        <v>1948.8</v>
      </c>
      <c r="D140" s="22" t="n">
        <f aca="false">C140-B140</f>
        <v>-514.3</v>
      </c>
      <c r="E140" s="22" t="n">
        <v>5915.52</v>
      </c>
      <c r="F140" s="22" t="n">
        <v>6233.09</v>
      </c>
      <c r="G140" s="22" t="n">
        <f aca="false">F140-E140</f>
        <v>317.57</v>
      </c>
      <c r="H140" s="22" t="n">
        <f aca="false">D140-$B$13</f>
        <v>-958.948263157895</v>
      </c>
      <c r="I140" s="22" t="n">
        <f aca="false">G140-$B$14</f>
        <v>750.35752631579</v>
      </c>
      <c r="J140" s="23" t="n">
        <f aca="false">H140^2</f>
        <v>919581.771413543</v>
      </c>
      <c r="K140" s="23" t="n">
        <f aca="false">I140^2</f>
        <v>563036.417298751</v>
      </c>
      <c r="L140" s="23" t="n">
        <f aca="false">H140*I140</f>
        <v>-719554.046607981</v>
      </c>
    </row>
    <row r="141" customFormat="false" ht="15" hidden="false" customHeight="false" outlineLevel="0" collapsed="false">
      <c r="A141" s="21" t="s">
        <v>165</v>
      </c>
      <c r="B141" s="22" t="n">
        <v>1057.7</v>
      </c>
      <c r="C141" s="22" t="n">
        <v>1045</v>
      </c>
      <c r="D141" s="22" t="n">
        <f aca="false">C141-B141</f>
        <v>-12.7</v>
      </c>
      <c r="E141" s="22" t="n">
        <v>359.5</v>
      </c>
      <c r="F141" s="22" t="n">
        <v>368.43</v>
      </c>
      <c r="G141" s="22" t="n">
        <f aca="false">F141-E141</f>
        <v>8.93000000000001</v>
      </c>
      <c r="H141" s="22" t="n">
        <f aca="false">D141-$B$13</f>
        <v>-457.348263157895</v>
      </c>
      <c r="I141" s="22" t="n">
        <f aca="false">G141-$B$14</f>
        <v>441.71752631579</v>
      </c>
      <c r="J141" s="23" t="n">
        <f aca="false">H141^2</f>
        <v>209167.433813543</v>
      </c>
      <c r="K141" s="23" t="n">
        <f aca="false">I141^2</f>
        <v>195114.373054541</v>
      </c>
      <c r="L141" s="23" t="n">
        <f aca="false">H141*I141</f>
        <v>-202018.743466928</v>
      </c>
    </row>
    <row r="142" customFormat="false" ht="15" hidden="false" customHeight="false" outlineLevel="0" collapsed="false">
      <c r="A142" s="21" t="s">
        <v>166</v>
      </c>
      <c r="B142" s="22" t="n">
        <v>11</v>
      </c>
      <c r="C142" s="22" t="n">
        <v>7.75</v>
      </c>
      <c r="D142" s="22" t="n">
        <f aca="false">C142-B142</f>
        <v>-3.25</v>
      </c>
      <c r="E142" s="22" t="n">
        <v>837.85</v>
      </c>
      <c r="F142" s="22" t="n">
        <v>892.61</v>
      </c>
      <c r="G142" s="22" t="n">
        <f aca="false">F142-E142</f>
        <v>54.76</v>
      </c>
      <c r="H142" s="22" t="n">
        <f aca="false">D142-$B$13</f>
        <v>-447.898263157895</v>
      </c>
      <c r="I142" s="22" t="n">
        <f aca="false">G142-$B$14</f>
        <v>487.54752631579</v>
      </c>
      <c r="J142" s="23" t="n">
        <f aca="false">H142^2</f>
        <v>200612.854139859</v>
      </c>
      <c r="K142" s="23" t="n">
        <f aca="false">I142^2</f>
        <v>237702.590416646</v>
      </c>
      <c r="L142" s="23" t="n">
        <f aca="false">H142*I142</f>
        <v>-218371.69024377</v>
      </c>
    </row>
    <row r="143" customFormat="false" ht="15" hidden="false" customHeight="false" outlineLevel="0" collapsed="false">
      <c r="A143" s="21" t="s">
        <v>167</v>
      </c>
      <c r="B143" s="22" t="n">
        <v>453.88</v>
      </c>
      <c r="C143" s="22" t="n">
        <v>592</v>
      </c>
      <c r="D143" s="22" t="n">
        <f aca="false">C143-B143</f>
        <v>138.12</v>
      </c>
      <c r="E143" s="22" t="n">
        <v>9850.44</v>
      </c>
      <c r="F143" s="22" t="n">
        <v>10167.93</v>
      </c>
      <c r="G143" s="22" t="n">
        <f aca="false">F143-E143</f>
        <v>317.49</v>
      </c>
      <c r="H143" s="22" t="n">
        <f aca="false">D143-$B$13</f>
        <v>-306.528263157895</v>
      </c>
      <c r="I143" s="22" t="n">
        <f aca="false">G143-$B$14</f>
        <v>750.27752631579</v>
      </c>
      <c r="J143" s="23" t="n">
        <f aca="false">H143^2</f>
        <v>93959.5761145956</v>
      </c>
      <c r="K143" s="23" t="n">
        <f aca="false">I143^2</f>
        <v>562916.366494541</v>
      </c>
      <c r="L143" s="23" t="n">
        <f aca="false">H143*I143</f>
        <v>-229981.267027981</v>
      </c>
    </row>
    <row r="144" customFormat="false" ht="15" hidden="false" customHeight="false" outlineLevel="0" collapsed="false">
      <c r="A144" s="21" t="s">
        <v>168</v>
      </c>
      <c r="B144" s="22" t="n">
        <v>14000</v>
      </c>
      <c r="C144" s="22" t="n">
        <v>17836.85</v>
      </c>
      <c r="D144" s="22" t="n">
        <f aca="false">C144-B144</f>
        <v>3836.85</v>
      </c>
      <c r="E144" s="22" t="n">
        <v>1328.1</v>
      </c>
      <c r="F144" s="22" t="n">
        <v>1064.94</v>
      </c>
      <c r="G144" s="22" t="n">
        <f aca="false">F144-E144</f>
        <v>-263.16</v>
      </c>
      <c r="H144" s="22" t="n">
        <f aca="false">D144-$B$13</f>
        <v>3392.2017368421</v>
      </c>
      <c r="I144" s="22" t="n">
        <f aca="false">G144-$B$14</f>
        <v>169.62752631579</v>
      </c>
      <c r="J144" s="23" t="n">
        <f aca="false">H144^2</f>
        <v>11507032.6234346</v>
      </c>
      <c r="K144" s="23" t="n">
        <f aca="false">I144^2</f>
        <v>28773.4976840141</v>
      </c>
      <c r="L144" s="23" t="n">
        <f aca="false">H144*I144</f>
        <v>575410.789384653</v>
      </c>
    </row>
    <row r="145" customFormat="false" ht="15" hidden="false" customHeight="false" outlineLevel="0" collapsed="false">
      <c r="A145" s="21" t="s">
        <v>169</v>
      </c>
      <c r="B145" s="22" t="n">
        <v>40800</v>
      </c>
      <c r="C145" s="22" t="n">
        <v>45029.15</v>
      </c>
      <c r="D145" s="22" t="n">
        <f aca="false">C145-B145</f>
        <v>4229.15</v>
      </c>
      <c r="E145" s="22" t="n">
        <v>20302.03</v>
      </c>
      <c r="F145" s="22" t="n">
        <v>17383.72</v>
      </c>
      <c r="G145" s="22" t="n">
        <f aca="false">F145-E145</f>
        <v>-2918.31</v>
      </c>
      <c r="H145" s="22" t="n">
        <f aca="false">D145-$B$13</f>
        <v>3784.50173684211</v>
      </c>
      <c r="I145" s="22" t="n">
        <f aca="false">G145-$B$14</f>
        <v>-2485.52247368421</v>
      </c>
      <c r="J145" s="23" t="n">
        <f aca="false">H145^2</f>
        <v>14322453.3961609</v>
      </c>
      <c r="K145" s="23" t="n">
        <f aca="false">I145^2</f>
        <v>6177821.96718926</v>
      </c>
      <c r="L145" s="23" t="n">
        <f aca="false">H145*I145</f>
        <v>-9406464.11861797</v>
      </c>
    </row>
    <row r="146" customFormat="false" ht="15" hidden="false" customHeight="false" outlineLevel="0" collapsed="false">
      <c r="A146" s="21" t="s">
        <v>170</v>
      </c>
      <c r="B146" s="22" t="n">
        <v>3.8</v>
      </c>
      <c r="C146" s="22" t="n">
        <v>3.8</v>
      </c>
      <c r="D146" s="22" t="n">
        <f aca="false">C146-B146</f>
        <v>0</v>
      </c>
      <c r="E146" s="22" t="n">
        <v>18.83</v>
      </c>
      <c r="F146" s="22" t="n">
        <v>18.87</v>
      </c>
      <c r="G146" s="22" t="n">
        <f aca="false">F146-E146</f>
        <v>0.0400000000000027</v>
      </c>
      <c r="H146" s="22" t="n">
        <f aca="false">D146-$B$13</f>
        <v>-444.648263157895</v>
      </c>
      <c r="I146" s="22" t="n">
        <f aca="false">G146-$B$14</f>
        <v>432.82752631579</v>
      </c>
      <c r="J146" s="23" t="n">
        <f aca="false">H146^2</f>
        <v>197712.077929332</v>
      </c>
      <c r="K146" s="23" t="n">
        <f aca="false">I146^2</f>
        <v>187339.667536646</v>
      </c>
      <c r="L146" s="23" t="n">
        <f aca="false">H146*I146</f>
        <v>-192456.007823244</v>
      </c>
    </row>
    <row r="147" customFormat="false" ht="15" hidden="false" customHeight="false" outlineLevel="0" collapsed="false">
      <c r="A147" s="21" t="s">
        <v>171</v>
      </c>
      <c r="B147" s="22" t="n">
        <v>599</v>
      </c>
      <c r="C147" s="22" t="n">
        <v>456</v>
      </c>
      <c r="D147" s="22" t="n">
        <f aca="false">C147-B147</f>
        <v>-143</v>
      </c>
      <c r="E147" s="22" t="n">
        <v>957.55</v>
      </c>
      <c r="F147" s="22" t="n">
        <v>1032.59</v>
      </c>
      <c r="G147" s="22" t="n">
        <f aca="false">F147-E147</f>
        <v>75.04</v>
      </c>
      <c r="H147" s="22" t="n">
        <f aca="false">D147-$B$13</f>
        <v>-587.648263157895</v>
      </c>
      <c r="I147" s="22" t="n">
        <f aca="false">G147-$B$14</f>
        <v>507.82752631579</v>
      </c>
      <c r="J147" s="23" t="n">
        <f aca="false">H147^2</f>
        <v>345330.48119249</v>
      </c>
      <c r="K147" s="23" t="n">
        <f aca="false">I147^2</f>
        <v>257888.796484014</v>
      </c>
      <c r="L147" s="23" t="n">
        <f aca="false">H147*I147</f>
        <v>-298423.963823244</v>
      </c>
    </row>
    <row r="148" customFormat="false" ht="15" hidden="false" customHeight="false" outlineLevel="0" collapsed="false">
      <c r="A148" s="21" t="s">
        <v>172</v>
      </c>
      <c r="B148" s="22" t="n">
        <v>884</v>
      </c>
      <c r="C148" s="22" t="n">
        <v>806</v>
      </c>
      <c r="D148" s="22" t="n">
        <f aca="false">C148-B148</f>
        <v>-78</v>
      </c>
      <c r="E148" s="22" t="n">
        <v>12198.48</v>
      </c>
      <c r="F148" s="22" t="n">
        <v>12113.51</v>
      </c>
      <c r="G148" s="22" t="n">
        <f aca="false">F148-E148</f>
        <v>-84.9699999999994</v>
      </c>
      <c r="H148" s="22" t="n">
        <f aca="false">D148-$B$13</f>
        <v>-522.648263157895</v>
      </c>
      <c r="I148" s="22" t="n">
        <f aca="false">G148-$B$14</f>
        <v>347.817526315791</v>
      </c>
      <c r="J148" s="23" t="n">
        <f aca="false">H148^2</f>
        <v>273161.206981964</v>
      </c>
      <c r="K148" s="23" t="n">
        <f aca="false">I148^2</f>
        <v>120977.031612436</v>
      </c>
      <c r="L148" s="23" t="n">
        <f aca="false">H148*I148</f>
        <v>-181786.226024823</v>
      </c>
    </row>
    <row r="149" customFormat="false" ht="15" hidden="false" customHeight="false" outlineLevel="0" collapsed="false">
      <c r="A149" s="21" t="s">
        <v>173</v>
      </c>
      <c r="B149" s="22" t="n">
        <v>73</v>
      </c>
      <c r="C149" s="22" t="n">
        <v>121.74</v>
      </c>
      <c r="D149" s="22" t="n">
        <f aca="false">C149-B149</f>
        <v>48.74</v>
      </c>
      <c r="E149" s="22" t="n">
        <v>1.6</v>
      </c>
      <c r="F149" s="22" t="n">
        <v>1.6</v>
      </c>
      <c r="G149" s="22" t="n">
        <f aca="false">F149-E149</f>
        <v>0</v>
      </c>
      <c r="H149" s="22" t="n">
        <f aca="false">D149-$B$13</f>
        <v>-395.908263157895</v>
      </c>
      <c r="I149" s="22" t="n">
        <f aca="false">G149-$B$14</f>
        <v>432.78752631579</v>
      </c>
      <c r="J149" s="23" t="n">
        <f aca="false">H149^2</f>
        <v>156743.352836701</v>
      </c>
      <c r="K149" s="23" t="n">
        <f aca="false">I149^2</f>
        <v>187305.042934541</v>
      </c>
      <c r="L149" s="23" t="n">
        <f aca="false">H149*I149</f>
        <v>-171344.157860086</v>
      </c>
    </row>
    <row r="150" customFormat="false" ht="15" hidden="false" customHeight="false" outlineLevel="0" collapsed="false">
      <c r="A150" s="21" t="s">
        <v>174</v>
      </c>
      <c r="B150" s="22" t="n">
        <v>31698</v>
      </c>
      <c r="C150" s="22" t="n">
        <v>30995</v>
      </c>
      <c r="D150" s="22" t="n">
        <f aca="false">C150-B150</f>
        <v>-703</v>
      </c>
      <c r="E150" s="22" t="n">
        <v>3316.91</v>
      </c>
      <c r="F150" s="22" t="n">
        <v>3150.89</v>
      </c>
      <c r="G150" s="22" t="n">
        <f aca="false">F150-E150</f>
        <v>-166.02</v>
      </c>
      <c r="H150" s="22" t="n">
        <f aca="false">D150-$B$13</f>
        <v>-1147.64826315789</v>
      </c>
      <c r="I150" s="22" t="n">
        <f aca="false">G150-$B$14</f>
        <v>266.76752631579</v>
      </c>
      <c r="J150" s="23" t="n">
        <f aca="false">H150^2</f>
        <v>1317096.53592933</v>
      </c>
      <c r="K150" s="23" t="n">
        <f aca="false">I150^2</f>
        <v>71164.9130966457</v>
      </c>
      <c r="L150" s="23" t="n">
        <f aca="false">H150*I150</f>
        <v>-306155.288243244</v>
      </c>
    </row>
    <row r="151" customFormat="false" ht="15" hidden="false" customHeight="false" outlineLevel="0" collapsed="false">
      <c r="A151" s="21" t="s">
        <v>175</v>
      </c>
      <c r="B151" s="22" t="n">
        <v>191.21</v>
      </c>
      <c r="C151" s="22" t="n">
        <v>113.2</v>
      </c>
      <c r="D151" s="22" t="n">
        <f aca="false">C151-B151</f>
        <v>-78.01</v>
      </c>
      <c r="E151" s="22" t="n">
        <v>9.08</v>
      </c>
      <c r="F151" s="22" t="n">
        <v>11.1</v>
      </c>
      <c r="G151" s="22" t="n">
        <f aca="false">F151-E151</f>
        <v>2.02</v>
      </c>
      <c r="H151" s="22" t="n">
        <f aca="false">D151-$B$13</f>
        <v>-522.658263157895</v>
      </c>
      <c r="I151" s="22" t="n">
        <f aca="false">G151-$B$14</f>
        <v>434.80752631579</v>
      </c>
      <c r="J151" s="23" t="n">
        <f aca="false">H151^2</f>
        <v>273171.660047227</v>
      </c>
      <c r="K151" s="23" t="n">
        <f aca="false">I151^2</f>
        <v>189057.584940856</v>
      </c>
      <c r="L151" s="23" t="n">
        <f aca="false">H151*I151</f>
        <v>-227255.746512191</v>
      </c>
    </row>
    <row r="152" customFormat="false" ht="15" hidden="false" customHeight="false" outlineLevel="0" collapsed="false">
      <c r="A152" s="21" t="s">
        <v>176</v>
      </c>
      <c r="B152" s="22" t="n">
        <v>695</v>
      </c>
      <c r="C152" s="22" t="n">
        <v>602.78</v>
      </c>
      <c r="D152" s="22" t="n">
        <f aca="false">C152-B152</f>
        <v>-92.22</v>
      </c>
      <c r="E152" s="22" t="n">
        <v>4790.78</v>
      </c>
      <c r="F152" s="22" t="n">
        <v>4620.64</v>
      </c>
      <c r="G152" s="22" t="n">
        <f aca="false">F152-E152</f>
        <v>-170.139999999999</v>
      </c>
      <c r="H152" s="22" t="n">
        <f aca="false">D152-$B$13</f>
        <v>-536.868263157895</v>
      </c>
      <c r="I152" s="22" t="n">
        <f aca="false">G152-$B$14</f>
        <v>262.647526315791</v>
      </c>
      <c r="J152" s="23" t="n">
        <f aca="false">H152^2</f>
        <v>288227.531986174</v>
      </c>
      <c r="K152" s="23" t="n">
        <f aca="false">I152^2</f>
        <v>68983.7230798039</v>
      </c>
      <c r="L152" s="23" t="n">
        <f aca="false">H152*I152</f>
        <v>-141007.121275876</v>
      </c>
    </row>
    <row r="153" customFormat="false" ht="15" hidden="false" customHeight="false" outlineLevel="0" collapsed="false">
      <c r="A153" s="21" t="s">
        <v>177</v>
      </c>
      <c r="B153" s="22" t="n">
        <v>908</v>
      </c>
      <c r="C153" s="22" t="n">
        <v>1215</v>
      </c>
      <c r="D153" s="22" t="n">
        <f aca="false">C153-B153</f>
        <v>307</v>
      </c>
      <c r="E153" s="22" t="n">
        <v>34395.22</v>
      </c>
      <c r="F153" s="22" t="n">
        <v>34036.46</v>
      </c>
      <c r="G153" s="22" t="n">
        <f aca="false">F153-E153</f>
        <v>-358.760000000002</v>
      </c>
      <c r="H153" s="22" t="n">
        <f aca="false">D153-$B$13</f>
        <v>-137.648263157895</v>
      </c>
      <c r="I153" s="22" t="n">
        <f aca="false">G153-$B$14</f>
        <v>74.0275263157879</v>
      </c>
      <c r="J153" s="23" t="n">
        <f aca="false">H153^2</f>
        <v>18947.044350385</v>
      </c>
      <c r="K153" s="23" t="n">
        <f aca="false">I153^2</f>
        <v>5480.07465243467</v>
      </c>
      <c r="L153" s="23" t="n">
        <f aca="false">H153*I153</f>
        <v>-10189.7604232436</v>
      </c>
    </row>
    <row r="154" customFormat="false" ht="15" hidden="false" customHeight="false" outlineLevel="0" collapsed="false">
      <c r="A154" s="21" t="s">
        <v>178</v>
      </c>
      <c r="B154" s="22" t="n">
        <v>3110</v>
      </c>
      <c r="C154" s="22" t="n">
        <v>4643.49</v>
      </c>
      <c r="D154" s="22" t="n">
        <f aca="false">C154-B154</f>
        <v>1533.49</v>
      </c>
      <c r="E154" s="22" t="n">
        <v>21909.71</v>
      </c>
      <c r="F154" s="22" t="n">
        <v>14624.81</v>
      </c>
      <c r="G154" s="22" t="n">
        <f aca="false">F154-E154</f>
        <v>-7284.9</v>
      </c>
      <c r="H154" s="22" t="n">
        <f aca="false">D154-$B$13</f>
        <v>1088.84173684211</v>
      </c>
      <c r="I154" s="22" t="n">
        <f aca="false">G154-$B$14</f>
        <v>-6852.11247368421</v>
      </c>
      <c r="J154" s="23" t="n">
        <f aca="false">H154^2</f>
        <v>1185576.32788933</v>
      </c>
      <c r="K154" s="23" t="n">
        <f aca="false">I154^2</f>
        <v>46951445.3520187</v>
      </c>
      <c r="L154" s="23" t="n">
        <f aca="false">H154*I154</f>
        <v>-7460866.04688377</v>
      </c>
    </row>
    <row r="155" customFormat="false" ht="15" hidden="false" customHeight="false" outlineLevel="0" collapsed="false">
      <c r="A155" s="21" t="s">
        <v>179</v>
      </c>
      <c r="B155" s="22" t="n">
        <v>5116.18</v>
      </c>
      <c r="C155" s="22" t="n">
        <v>6197.85</v>
      </c>
      <c r="D155" s="22" t="n">
        <f aca="false">C155-B155</f>
        <v>1081.67</v>
      </c>
      <c r="E155" s="22" t="n">
        <v>74044.52</v>
      </c>
      <c r="F155" s="22" t="n">
        <v>67758.44</v>
      </c>
      <c r="G155" s="22" t="n">
        <f aca="false">F155-E155</f>
        <v>-6286.08</v>
      </c>
      <c r="H155" s="22" t="n">
        <f aca="false">D155-$B$13</f>
        <v>637.021736842105</v>
      </c>
      <c r="I155" s="22" t="n">
        <f aca="false">G155-$B$14</f>
        <v>-5853.29247368421</v>
      </c>
      <c r="J155" s="23" t="n">
        <f aca="false">H155^2</f>
        <v>405796.693209333</v>
      </c>
      <c r="K155" s="23" t="n">
        <f aca="false">I155^2</f>
        <v>34261032.7824882</v>
      </c>
      <c r="L155" s="23" t="n">
        <f aca="false">H155*I155</f>
        <v>-3728674.53783114</v>
      </c>
    </row>
    <row r="156" customFormat="false" ht="15" hidden="false" customHeight="false" outlineLevel="0" collapsed="false">
      <c r="A156" s="21" t="s">
        <v>180</v>
      </c>
      <c r="B156" s="22" t="n">
        <v>9526.12</v>
      </c>
      <c r="C156" s="22" t="n">
        <v>11194.59</v>
      </c>
      <c r="D156" s="22" t="n">
        <f aca="false">C156-B156</f>
        <v>1668.47</v>
      </c>
      <c r="E156" s="22" t="n">
        <v>7309.26</v>
      </c>
      <c r="F156" s="22" t="n">
        <v>7353.74</v>
      </c>
      <c r="G156" s="22" t="n">
        <f aca="false">F156-E156</f>
        <v>44.4799999999996</v>
      </c>
      <c r="H156" s="22" t="n">
        <f aca="false">D156-$B$13</f>
        <v>1223.8217368421</v>
      </c>
      <c r="I156" s="22" t="n">
        <f aca="false">G156-$B$14</f>
        <v>477.26752631579</v>
      </c>
      <c r="J156" s="23" t="n">
        <f aca="false">H156^2</f>
        <v>1497739.64356723</v>
      </c>
      <c r="K156" s="23" t="n">
        <f aca="false">I156^2</f>
        <v>227784.291675593</v>
      </c>
      <c r="L156" s="23" t="n">
        <f aca="false">H156*I156</f>
        <v>584090.372994124</v>
      </c>
    </row>
    <row r="157" customFormat="false" ht="15" hidden="false" customHeight="false" outlineLevel="0" collapsed="false">
      <c r="A157" s="21" t="s">
        <v>181</v>
      </c>
      <c r="B157" s="22" t="n">
        <v>14330</v>
      </c>
      <c r="C157" s="22" t="n">
        <v>11546</v>
      </c>
      <c r="D157" s="22" t="n">
        <f aca="false">C157-B157</f>
        <v>-2784</v>
      </c>
      <c r="E157" s="22" t="n">
        <v>9059</v>
      </c>
      <c r="F157" s="22" t="n">
        <v>9482.68</v>
      </c>
      <c r="G157" s="22" t="n">
        <f aca="false">F157-E157</f>
        <v>423.68</v>
      </c>
      <c r="H157" s="22" t="n">
        <f aca="false">D157-$B$13</f>
        <v>-3228.64826315789</v>
      </c>
      <c r="I157" s="22" t="n">
        <f aca="false">G157-$B$14</f>
        <v>856.46752631579</v>
      </c>
      <c r="J157" s="23" t="n">
        <f aca="false">H157^2</f>
        <v>10424169.6071925</v>
      </c>
      <c r="K157" s="23" t="n">
        <f aca="false">I157^2</f>
        <v>733536.623633489</v>
      </c>
      <c r="L157" s="23" t="n">
        <f aca="false">H157*I157</f>
        <v>-2765232.39129061</v>
      </c>
    </row>
    <row r="158" customFormat="false" ht="15" hidden="false" customHeight="false" outlineLevel="0" collapsed="false">
      <c r="A158" s="21" t="s">
        <v>182</v>
      </c>
      <c r="B158" s="22" t="n">
        <v>2539.42</v>
      </c>
      <c r="C158" s="22" t="n">
        <v>1727.48</v>
      </c>
      <c r="D158" s="22" t="n">
        <f aca="false">C158-B158</f>
        <v>-811.94</v>
      </c>
      <c r="E158" s="22" t="n">
        <v>3348.57</v>
      </c>
      <c r="F158" s="22" t="n">
        <v>3351.33</v>
      </c>
      <c r="G158" s="22" t="n">
        <f aca="false">F158-E158</f>
        <v>2.75999999999976</v>
      </c>
      <c r="H158" s="22" t="n">
        <f aca="false">D158-$B$13</f>
        <v>-1256.58826315789</v>
      </c>
      <c r="I158" s="22" t="n">
        <f aca="false">G158-$B$14</f>
        <v>435.54752631579</v>
      </c>
      <c r="J158" s="23" t="n">
        <f aca="false">H158^2</f>
        <v>1579014.06310617</v>
      </c>
      <c r="K158" s="23" t="n">
        <f aca="false">I158^2</f>
        <v>189701.647679804</v>
      </c>
      <c r="L158" s="23" t="n">
        <f aca="false">H158*I158</f>
        <v>-547303.909615876</v>
      </c>
    </row>
    <row r="159" customFormat="false" ht="15" hidden="false" customHeight="false" outlineLevel="0" collapsed="false">
      <c r="A159" s="21" t="s">
        <v>183</v>
      </c>
      <c r="B159" s="22" t="n">
        <v>101.75</v>
      </c>
      <c r="C159" s="22" t="n">
        <v>75.26</v>
      </c>
      <c r="D159" s="22" t="n">
        <f aca="false">C159-B159</f>
        <v>-26.49</v>
      </c>
      <c r="E159" s="22" t="n">
        <v>429.15</v>
      </c>
      <c r="F159" s="22" t="n">
        <v>446.48</v>
      </c>
      <c r="G159" s="22" t="n">
        <f aca="false">F159-E159</f>
        <v>17.33</v>
      </c>
      <c r="H159" s="22" t="n">
        <f aca="false">D159-$B$13</f>
        <v>-471.138263157895</v>
      </c>
      <c r="I159" s="22" t="n">
        <f aca="false">G159-$B$14</f>
        <v>450.11752631579</v>
      </c>
      <c r="J159" s="23" t="n">
        <f aca="false">H159^2</f>
        <v>221971.263011438</v>
      </c>
      <c r="K159" s="23" t="n">
        <f aca="false">I159^2</f>
        <v>202605.787496646</v>
      </c>
      <c r="L159" s="23" t="n">
        <f aca="false">H159*I159</f>
        <v>-212067.589565349</v>
      </c>
    </row>
    <row r="160" customFormat="false" ht="15" hidden="false" customHeight="false" outlineLevel="0" collapsed="false">
      <c r="A160" s="21" t="s">
        <v>184</v>
      </c>
      <c r="B160" s="22" t="n">
        <v>16</v>
      </c>
      <c r="C160" s="22" t="n">
        <v>24</v>
      </c>
      <c r="D160" s="22" t="n">
        <f aca="false">C160-B160</f>
        <v>8</v>
      </c>
      <c r="E160" s="22" t="n">
        <v>1.4</v>
      </c>
      <c r="F160" s="22" t="n">
        <v>1.4</v>
      </c>
      <c r="G160" s="22" t="n">
        <f aca="false">F160-E160</f>
        <v>0</v>
      </c>
      <c r="H160" s="22" t="n">
        <f aca="false">D160-$B$13</f>
        <v>-436.648263157895</v>
      </c>
      <c r="I160" s="22" t="n">
        <f aca="false">G160-$B$14</f>
        <v>432.78752631579</v>
      </c>
      <c r="J160" s="23" t="n">
        <f aca="false">H160^2</f>
        <v>190661.705718806</v>
      </c>
      <c r="K160" s="23" t="n">
        <f aca="false">I160^2</f>
        <v>187305.042934541</v>
      </c>
      <c r="L160" s="23" t="n">
        <f aca="false">H160*I160</f>
        <v>-188975.921682191</v>
      </c>
    </row>
    <row r="161" customFormat="false" ht="15" hidden="false" customHeight="false" outlineLevel="0" collapsed="false">
      <c r="A161" s="21" t="s">
        <v>185</v>
      </c>
      <c r="B161" s="22" t="n">
        <v>1918</v>
      </c>
      <c r="C161" s="22" t="n">
        <v>1512</v>
      </c>
      <c r="D161" s="22" t="n">
        <f aca="false">C161-B161</f>
        <v>-406</v>
      </c>
      <c r="E161" s="22" t="n">
        <v>6476</v>
      </c>
      <c r="F161" s="22" t="n">
        <v>6286.68</v>
      </c>
      <c r="G161" s="22" t="n">
        <f aca="false">F161-E161</f>
        <v>-189.32</v>
      </c>
      <c r="H161" s="22" t="n">
        <f aca="false">D161-$B$13</f>
        <v>-850.648263157895</v>
      </c>
      <c r="I161" s="22" t="n">
        <f aca="false">G161-$B$14</f>
        <v>243.46752631579</v>
      </c>
      <c r="J161" s="23" t="n">
        <f aca="false">H161^2</f>
        <v>723602.467613543</v>
      </c>
      <c r="K161" s="23" t="n">
        <f aca="false">I161^2</f>
        <v>59276.43637033</v>
      </c>
      <c r="L161" s="23" t="n">
        <f aca="false">H161*I161</f>
        <v>-207105.228395876</v>
      </c>
    </row>
    <row r="162" customFormat="false" ht="15" hidden="false" customHeight="false" outlineLevel="0" collapsed="false">
      <c r="A162" s="21" t="s">
        <v>186</v>
      </c>
      <c r="B162" s="22" t="n">
        <v>2162</v>
      </c>
      <c r="C162" s="22" t="n">
        <v>2137</v>
      </c>
      <c r="D162" s="22" t="n">
        <f aca="false">C162-B162</f>
        <v>-25</v>
      </c>
      <c r="E162" s="22" t="n">
        <v>344.4</v>
      </c>
      <c r="F162" s="22" t="n">
        <v>371.46</v>
      </c>
      <c r="G162" s="22" t="n">
        <f aca="false">F162-E162</f>
        <v>27.06</v>
      </c>
      <c r="H162" s="22" t="n">
        <f aca="false">D162-$B$13</f>
        <v>-469.648263157895</v>
      </c>
      <c r="I162" s="22" t="n">
        <f aca="false">G162-$B$14</f>
        <v>459.84752631579</v>
      </c>
      <c r="J162" s="23" t="n">
        <f aca="false">H162^2</f>
        <v>220569.491087227</v>
      </c>
      <c r="K162" s="23" t="n">
        <f aca="false">I162^2</f>
        <v>211459.747458751</v>
      </c>
      <c r="L162" s="23" t="n">
        <f aca="false">H162*I162</f>
        <v>-215966.592051665</v>
      </c>
    </row>
    <row r="163" customFormat="false" ht="15" hidden="false" customHeight="false" outlineLevel="0" collapsed="false">
      <c r="A163" s="21" t="s">
        <v>187</v>
      </c>
      <c r="B163" s="22" t="n">
        <v>9908</v>
      </c>
      <c r="C163" s="22" t="n">
        <v>8813</v>
      </c>
      <c r="D163" s="22" t="n">
        <f aca="false">C163-B163</f>
        <v>-1095</v>
      </c>
      <c r="E163" s="22" t="n">
        <v>6366</v>
      </c>
      <c r="F163" s="22" t="n">
        <v>6945.9</v>
      </c>
      <c r="G163" s="22" t="n">
        <f aca="false">F163-E163</f>
        <v>579.9</v>
      </c>
      <c r="H163" s="22" t="n">
        <f aca="false">D163-$B$13</f>
        <v>-1539.64826315789</v>
      </c>
      <c r="I163" s="22" t="n">
        <f aca="false">G163-$B$14</f>
        <v>1012.68752631579</v>
      </c>
      <c r="J163" s="23" t="n">
        <f aca="false">H163^2</f>
        <v>2370516.77424512</v>
      </c>
      <c r="K163" s="23" t="n">
        <f aca="false">I163^2</f>
        <v>1025536.02595559</v>
      </c>
      <c r="L163" s="23" t="n">
        <f aca="false">H163*I163</f>
        <v>-1559182.59101377</v>
      </c>
    </row>
    <row r="164" customFormat="false" ht="15" hidden="false" customHeight="false" outlineLevel="0" collapsed="false">
      <c r="A164" s="21" t="s">
        <v>188</v>
      </c>
      <c r="B164" s="22" t="n">
        <v>126238</v>
      </c>
      <c r="C164" s="22" t="n">
        <v>123649</v>
      </c>
      <c r="D164" s="22" t="n">
        <f aca="false">C164-B164</f>
        <v>-2589</v>
      </c>
      <c r="E164" s="22" t="n">
        <v>812445.37</v>
      </c>
      <c r="F164" s="22" t="n">
        <v>830950.84</v>
      </c>
      <c r="G164" s="22" t="n">
        <f aca="false">F164-E164</f>
        <v>18505.47</v>
      </c>
      <c r="H164" s="22" t="n">
        <f aca="false">D164-$B$13</f>
        <v>-3033.64826315789</v>
      </c>
      <c r="I164" s="22" t="n">
        <f aca="false">G164-$B$14</f>
        <v>18938.2575263158</v>
      </c>
      <c r="J164" s="23" t="n">
        <f aca="false">H164^2</f>
        <v>9203021.78456091</v>
      </c>
      <c r="K164" s="23" t="n">
        <f aca="false">I164^2</f>
        <v>358657598.133056</v>
      </c>
      <c r="L164" s="23" t="n">
        <f aca="false">H164*I164</f>
        <v>-57452012.0519447</v>
      </c>
    </row>
    <row r="165" customFormat="false" ht="15" hidden="false" customHeight="false" outlineLevel="0" collapsed="false">
      <c r="A165" s="21" t="s">
        <v>189</v>
      </c>
      <c r="B165" s="22" t="n">
        <v>1362.47</v>
      </c>
      <c r="C165" s="22" t="n">
        <v>1663</v>
      </c>
      <c r="D165" s="22" t="n">
        <f aca="false">C165-B165</f>
        <v>300.53</v>
      </c>
      <c r="E165" s="22" t="n">
        <v>409.23</v>
      </c>
      <c r="F165" s="22" t="n">
        <v>605.51</v>
      </c>
      <c r="G165" s="22" t="n">
        <f aca="false">F165-E165</f>
        <v>196.28</v>
      </c>
      <c r="H165" s="22" t="n">
        <f aca="false">D165-$B$13</f>
        <v>-144.118263157895</v>
      </c>
      <c r="I165" s="22" t="n">
        <f aca="false">G165-$B$14</f>
        <v>629.06752631579</v>
      </c>
      <c r="J165" s="23" t="n">
        <f aca="false">H165^2</f>
        <v>20770.0737756482</v>
      </c>
      <c r="K165" s="23" t="n">
        <f aca="false">I165^2</f>
        <v>395725.952665067</v>
      </c>
      <c r="L165" s="23" t="n">
        <f aca="false">H165*I165</f>
        <v>-90660.1193016649</v>
      </c>
    </row>
    <row r="166" customFormat="false" ht="15" hidden="false" customHeight="false" outlineLevel="0" collapsed="false">
      <c r="A166" s="21" t="s">
        <v>190</v>
      </c>
      <c r="B166" s="22" t="n">
        <v>41</v>
      </c>
      <c r="C166" s="22" t="n">
        <v>28.66</v>
      </c>
      <c r="D166" s="22" t="n">
        <f aca="false">C166-B166</f>
        <v>-12.34</v>
      </c>
      <c r="E166" s="22" t="n">
        <v>70.97</v>
      </c>
      <c r="F166" s="22" t="n">
        <v>77.12</v>
      </c>
      <c r="G166" s="22" t="n">
        <f aca="false">F166-E166</f>
        <v>6.15000000000001</v>
      </c>
      <c r="H166" s="22" t="n">
        <f aca="false">D166-$B$13</f>
        <v>-456.988263157895</v>
      </c>
      <c r="I166" s="22" t="n">
        <f aca="false">G166-$B$14</f>
        <v>438.93752631579</v>
      </c>
      <c r="J166" s="23" t="n">
        <f aca="false">H166^2</f>
        <v>208838.272664069</v>
      </c>
      <c r="K166" s="23" t="n">
        <f aca="false">I166^2</f>
        <v>192666.152008225</v>
      </c>
      <c r="L166" s="23" t="n">
        <f aca="false">H166*I166</f>
        <v>-200589.297785876</v>
      </c>
    </row>
    <row r="167" customFormat="false" ht="15" hidden="false" customHeight="false" outlineLevel="0" collapsed="false">
      <c r="A167" s="21" t="s">
        <v>191</v>
      </c>
      <c r="B167" s="22" t="n">
        <v>7.33</v>
      </c>
      <c r="C167" s="22" t="n">
        <v>5.1</v>
      </c>
      <c r="D167" s="22" t="n">
        <f aca="false">C167-B167</f>
        <v>-2.23</v>
      </c>
      <c r="E167" s="22" t="n">
        <v>11</v>
      </c>
      <c r="F167" s="22" t="n">
        <v>11</v>
      </c>
      <c r="G167" s="22" t="n">
        <f aca="false">F167-E167</f>
        <v>0</v>
      </c>
      <c r="H167" s="22" t="n">
        <f aca="false">D167-$B$13</f>
        <v>-446.878263157895</v>
      </c>
      <c r="I167" s="22" t="n">
        <f aca="false">G167-$B$14</f>
        <v>432.78752631579</v>
      </c>
      <c r="J167" s="23" t="n">
        <f aca="false">H167^2</f>
        <v>199700.182083017</v>
      </c>
      <c r="K167" s="23" t="n">
        <f aca="false">I167^2</f>
        <v>187305.042934541</v>
      </c>
      <c r="L167" s="23" t="n">
        <f aca="false">H167*I167</f>
        <v>-193403.338076402</v>
      </c>
    </row>
    <row r="168" customFormat="false" ht="15" hidden="false" customHeight="false" outlineLevel="0" collapsed="false">
      <c r="A168" s="21" t="s">
        <v>192</v>
      </c>
      <c r="B168" s="22" t="n">
        <v>13.47</v>
      </c>
      <c r="C168" s="22" t="n">
        <v>9.56</v>
      </c>
      <c r="D168" s="22" t="n">
        <f aca="false">C168-B168</f>
        <v>-3.91</v>
      </c>
      <c r="E168" s="22" t="n">
        <v>29.06</v>
      </c>
      <c r="F168" s="22" t="n">
        <v>32.74</v>
      </c>
      <c r="G168" s="22" t="n">
        <f aca="false">F168-E168</f>
        <v>3.68</v>
      </c>
      <c r="H168" s="22" t="n">
        <f aca="false">D168-$B$13</f>
        <v>-448.558263157895</v>
      </c>
      <c r="I168" s="22" t="n">
        <f aca="false">G168-$B$14</f>
        <v>436.46752631579</v>
      </c>
      <c r="J168" s="23" t="n">
        <f aca="false">H168^2</f>
        <v>201204.515447227</v>
      </c>
      <c r="K168" s="23" t="n">
        <f aca="false">I168^2</f>
        <v>190503.901528225</v>
      </c>
      <c r="L168" s="23" t="n">
        <f aca="false">H168*I168</f>
        <v>-195781.115529033</v>
      </c>
    </row>
    <row r="169" customFormat="false" ht="15" hidden="false" customHeight="false" outlineLevel="0" collapsed="false">
      <c r="A169" s="21" t="s">
        <v>193</v>
      </c>
      <c r="B169" s="22" t="n">
        <v>5</v>
      </c>
      <c r="C169" s="22" t="n">
        <v>5</v>
      </c>
      <c r="D169" s="22" t="n">
        <f aca="false">C169-B169</f>
        <v>0</v>
      </c>
      <c r="E169" s="22" t="n">
        <v>28.54</v>
      </c>
      <c r="F169" s="22" t="n">
        <v>28.56</v>
      </c>
      <c r="G169" s="22" t="n">
        <f aca="false">F169-E169</f>
        <v>0.0199999999999996</v>
      </c>
      <c r="H169" s="22" t="n">
        <f aca="false">D169-$B$13</f>
        <v>-444.648263157895</v>
      </c>
      <c r="I169" s="22" t="n">
        <f aca="false">G169-$B$14</f>
        <v>432.80752631579</v>
      </c>
      <c r="J169" s="23" t="n">
        <f aca="false">H169^2</f>
        <v>197712.077929332</v>
      </c>
      <c r="K169" s="23" t="n">
        <f aca="false">I169^2</f>
        <v>187322.354835593</v>
      </c>
      <c r="L169" s="23" t="n">
        <f aca="false">H169*I169</f>
        <v>-192447.114857981</v>
      </c>
    </row>
    <row r="170" customFormat="false" ht="15" hidden="false" customHeight="false" outlineLevel="0" collapsed="false">
      <c r="A170" s="21" t="s">
        <v>194</v>
      </c>
      <c r="B170" s="22" t="n">
        <v>45</v>
      </c>
      <c r="C170" s="22" t="n">
        <v>43</v>
      </c>
      <c r="D170" s="22" t="n">
        <f aca="false">C170-B170</f>
        <v>-2</v>
      </c>
      <c r="E170" s="22" t="n">
        <v>171.77</v>
      </c>
      <c r="F170" s="22" t="n">
        <v>160.72</v>
      </c>
      <c r="G170" s="22" t="n">
        <f aca="false">F170-E170</f>
        <v>-11.05</v>
      </c>
      <c r="H170" s="22" t="n">
        <f aca="false">D170-$B$13</f>
        <v>-446.648263157895</v>
      </c>
      <c r="I170" s="22" t="n">
        <f aca="false">G170-$B$14</f>
        <v>421.73752631579</v>
      </c>
      <c r="J170" s="23" t="n">
        <f aca="false">H170^2</f>
        <v>199494.670981964</v>
      </c>
      <c r="K170" s="23" t="n">
        <f aca="false">I170^2</f>
        <v>177862.541102962</v>
      </c>
      <c r="L170" s="23" t="n">
        <f aca="false">H170*I170</f>
        <v>-188368.333637455</v>
      </c>
    </row>
    <row r="171" customFormat="false" ht="15" hidden="false" customHeight="false" outlineLevel="0" collapsed="false">
      <c r="A171" s="21" t="s">
        <v>195</v>
      </c>
      <c r="B171" s="22" t="n">
        <v>35</v>
      </c>
      <c r="C171" s="22" t="n">
        <v>43.26</v>
      </c>
      <c r="D171" s="22" t="n">
        <f aca="false">C171-B171</f>
        <v>8.26</v>
      </c>
      <c r="E171" s="22" t="n">
        <v>58.54</v>
      </c>
      <c r="F171" s="22" t="n">
        <v>55.23</v>
      </c>
      <c r="G171" s="22" t="n">
        <f aca="false">F171-E171</f>
        <v>-3.31</v>
      </c>
      <c r="H171" s="22" t="n">
        <f aca="false">D171-$B$13</f>
        <v>-436.388263157895</v>
      </c>
      <c r="I171" s="22" t="n">
        <f aca="false">G171-$B$14</f>
        <v>429.47752631579</v>
      </c>
      <c r="J171" s="23" t="n">
        <f aca="false">H171^2</f>
        <v>190434.716221964</v>
      </c>
      <c r="K171" s="23" t="n">
        <f aca="false">I171^2</f>
        <v>184450.94561033</v>
      </c>
      <c r="L171" s="23" t="n">
        <f aca="false">H171*I171</f>
        <v>-187418.951774297</v>
      </c>
    </row>
    <row r="172" customFormat="false" ht="15" hidden="false" customHeight="false" outlineLevel="0" collapsed="false">
      <c r="A172" s="21" t="s">
        <v>196</v>
      </c>
      <c r="B172" s="22" t="n">
        <v>3799.96</v>
      </c>
      <c r="C172" s="22" t="n">
        <v>4133.8</v>
      </c>
      <c r="D172" s="22" t="n">
        <f aca="false">C172-B172</f>
        <v>333.84</v>
      </c>
      <c r="E172" s="22" t="n">
        <v>2768.05</v>
      </c>
      <c r="F172" s="22" t="n">
        <v>2772.55</v>
      </c>
      <c r="G172" s="22" t="n">
        <f aca="false">F172-E172</f>
        <v>4.5</v>
      </c>
      <c r="H172" s="22" t="n">
        <f aca="false">D172-$B$13</f>
        <v>-110.808263157895</v>
      </c>
      <c r="I172" s="22" t="n">
        <f aca="false">G172-$B$14</f>
        <v>437.28752631579</v>
      </c>
      <c r="J172" s="23" t="n">
        <f aca="false">H172^2</f>
        <v>12278.4711840692</v>
      </c>
      <c r="K172" s="23" t="n">
        <f aca="false">I172^2</f>
        <v>191220.380671383</v>
      </c>
      <c r="L172" s="23" t="n">
        <f aca="false">H172*I172</f>
        <v>-48455.0712916648</v>
      </c>
    </row>
    <row r="173" customFormat="false" ht="15" hidden="false" customHeight="false" outlineLevel="0" collapsed="false">
      <c r="A173" s="21" t="s">
        <v>197</v>
      </c>
      <c r="B173" s="22" t="n">
        <v>3377</v>
      </c>
      <c r="C173" s="22" t="n">
        <v>3912.56</v>
      </c>
      <c r="D173" s="22" t="n">
        <f aca="false">C173-B173</f>
        <v>535.56</v>
      </c>
      <c r="E173" s="22" t="n">
        <v>9037.91</v>
      </c>
      <c r="F173" s="22" t="n">
        <v>8680.4</v>
      </c>
      <c r="G173" s="22" t="n">
        <f aca="false">F173-E173</f>
        <v>-357.51</v>
      </c>
      <c r="H173" s="22" t="n">
        <f aca="false">D173-$B$13</f>
        <v>90.9117368421052</v>
      </c>
      <c r="I173" s="22" t="n">
        <f aca="false">G173-$B$14</f>
        <v>75.2775263157897</v>
      </c>
      <c r="J173" s="23" t="n">
        <f aca="false">H173^2</f>
        <v>8264.94389564819</v>
      </c>
      <c r="K173" s="23" t="n">
        <f aca="false">I173^2</f>
        <v>5666.70596822441</v>
      </c>
      <c r="L173" s="23" t="n">
        <f aca="false">H173*I173</f>
        <v>6843.61066254572</v>
      </c>
    </row>
    <row r="174" customFormat="false" ht="15" hidden="false" customHeight="false" outlineLevel="0" collapsed="false">
      <c r="A174" s="21" t="s">
        <v>198</v>
      </c>
      <c r="B174" s="22" t="n">
        <v>4</v>
      </c>
      <c r="C174" s="22" t="n">
        <v>1.56</v>
      </c>
      <c r="D174" s="22" t="n">
        <f aca="false">C174-B174</f>
        <v>-2.44</v>
      </c>
      <c r="E174" s="22" t="n">
        <v>31.96</v>
      </c>
      <c r="F174" s="22" t="n">
        <v>26.96</v>
      </c>
      <c r="G174" s="22" t="n">
        <f aca="false">F174-E174</f>
        <v>-5</v>
      </c>
      <c r="H174" s="22" t="n">
        <f aca="false">D174-$B$13</f>
        <v>-447.088263157895</v>
      </c>
      <c r="I174" s="22" t="n">
        <f aca="false">G174-$B$14</f>
        <v>427.78752631579</v>
      </c>
      <c r="J174" s="23" t="n">
        <f aca="false">H174^2</f>
        <v>199887.915053543</v>
      </c>
      <c r="K174" s="23" t="n">
        <f aca="false">I174^2</f>
        <v>183002.167671383</v>
      </c>
      <c r="L174" s="23" t="n">
        <f aca="false">H174*I174</f>
        <v>-191258.782141139</v>
      </c>
    </row>
    <row r="175" customFormat="false" ht="15" hidden="false" customHeight="false" outlineLevel="0" collapsed="false">
      <c r="A175" s="21" t="s">
        <v>199</v>
      </c>
      <c r="B175" s="22" t="n">
        <v>610</v>
      </c>
      <c r="C175" s="22" t="n">
        <v>1749</v>
      </c>
      <c r="D175" s="22" t="n">
        <f aca="false">C175-B175</f>
        <v>1139</v>
      </c>
      <c r="E175" s="22" t="n">
        <v>2929.43</v>
      </c>
      <c r="F175" s="22" t="n">
        <v>2475.72</v>
      </c>
      <c r="G175" s="22" t="n">
        <f aca="false">F175-E175</f>
        <v>-453.71</v>
      </c>
      <c r="H175" s="22" t="n">
        <f aca="false">D175-$B$13</f>
        <v>694.351736842105</v>
      </c>
      <c r="I175" s="22" t="n">
        <f aca="false">G175-$B$14</f>
        <v>-20.9224736842101</v>
      </c>
      <c r="J175" s="23" t="n">
        <f aca="false">H175^2</f>
        <v>482124.334455648</v>
      </c>
      <c r="K175" s="23" t="n">
        <f aca="false">I175^2</f>
        <v>437.749905066464</v>
      </c>
      <c r="L175" s="23" t="n">
        <f aca="false">H175*I175</f>
        <v>-14527.5559416645</v>
      </c>
    </row>
    <row r="176" customFormat="false" ht="15" hidden="false" customHeight="false" outlineLevel="0" collapsed="false">
      <c r="A176" s="21" t="s">
        <v>200</v>
      </c>
      <c r="B176" s="22" t="n">
        <v>1.2</v>
      </c>
      <c r="C176" s="22" t="n">
        <v>0.66</v>
      </c>
      <c r="D176" s="22" t="n">
        <f aca="false">C176-B176</f>
        <v>-0.54</v>
      </c>
      <c r="E176" s="22" t="n">
        <v>17.01</v>
      </c>
      <c r="F176" s="22" t="n">
        <v>15.8</v>
      </c>
      <c r="G176" s="22" t="n">
        <f aca="false">F176-E176</f>
        <v>-1.21</v>
      </c>
      <c r="H176" s="22" t="n">
        <f aca="false">D176-$B$13</f>
        <v>-445.188263157895</v>
      </c>
      <c r="I176" s="22" t="n">
        <f aca="false">G176-$B$14</f>
        <v>431.57752631579</v>
      </c>
      <c r="J176" s="23" t="n">
        <f aca="false">H176^2</f>
        <v>198192.589653543</v>
      </c>
      <c r="K176" s="23" t="n">
        <f aca="false">I176^2</f>
        <v>186259.161220856</v>
      </c>
      <c r="L176" s="23" t="n">
        <f aca="false">H176*I176</f>
        <v>-192133.249358507</v>
      </c>
    </row>
    <row r="177" customFormat="false" ht="15" hidden="false" customHeight="false" outlineLevel="0" collapsed="false">
      <c r="A177" s="21" t="s">
        <v>201</v>
      </c>
      <c r="B177" s="22" t="n">
        <v>1575</v>
      </c>
      <c r="C177" s="22" t="n">
        <v>1324</v>
      </c>
      <c r="D177" s="22" t="n">
        <f aca="false">C177-B177</f>
        <v>-251</v>
      </c>
      <c r="E177" s="22" t="n">
        <v>1901.41</v>
      </c>
      <c r="F177" s="22" t="n">
        <v>1936.78</v>
      </c>
      <c r="G177" s="22" t="n">
        <f aca="false">F177-E177</f>
        <v>35.3699999999999</v>
      </c>
      <c r="H177" s="22" t="n">
        <f aca="false">D177-$B$13</f>
        <v>-695.648263157895</v>
      </c>
      <c r="I177" s="22" t="n">
        <f aca="false">G177-$B$14</f>
        <v>468.15752631579</v>
      </c>
      <c r="J177" s="23" t="n">
        <f aca="false">H177^2</f>
        <v>483926.506034596</v>
      </c>
      <c r="K177" s="23" t="n">
        <f aca="false">I177^2</f>
        <v>219171.469446119</v>
      </c>
      <c r="L177" s="23" t="n">
        <f aca="false">H177*I177</f>
        <v>-325672.970065876</v>
      </c>
    </row>
    <row r="178" customFormat="false" ht="15" hidden="false" customHeight="false" outlineLevel="0" collapsed="false">
      <c r="A178" s="21" t="s">
        <v>202</v>
      </c>
      <c r="B178" s="22" t="n">
        <v>204</v>
      </c>
      <c r="C178" s="22" t="n">
        <v>233.38</v>
      </c>
      <c r="D178" s="22" t="n">
        <f aca="false">C178-B178</f>
        <v>29.38</v>
      </c>
      <c r="E178" s="22" t="n">
        <v>1233</v>
      </c>
      <c r="F178" s="22" t="n">
        <v>1243.66</v>
      </c>
      <c r="G178" s="22" t="n">
        <f aca="false">F178-E178</f>
        <v>10.6600000000001</v>
      </c>
      <c r="H178" s="22" t="n">
        <f aca="false">D178-$B$13</f>
        <v>-415.268263157895</v>
      </c>
      <c r="I178" s="22" t="n">
        <f aca="false">G178-$B$14</f>
        <v>443.44752631579</v>
      </c>
      <c r="J178" s="23" t="n">
        <f aca="false">H178^2</f>
        <v>172447.730386175</v>
      </c>
      <c r="K178" s="23" t="n">
        <f aca="false">I178^2</f>
        <v>196645.708595593</v>
      </c>
      <c r="L178" s="23" t="n">
        <f aca="false">H178*I178</f>
        <v>-184149.684054823</v>
      </c>
    </row>
    <row r="179" customFormat="false" ht="15" hidden="false" customHeight="false" outlineLevel="0" collapsed="false">
      <c r="A179" s="21" t="s">
        <v>203</v>
      </c>
      <c r="B179" s="22" t="n">
        <v>69</v>
      </c>
      <c r="C179" s="22" t="n">
        <v>101.53</v>
      </c>
      <c r="D179" s="22" t="n">
        <f aca="false">C179-B179</f>
        <v>32.53</v>
      </c>
      <c r="E179" s="22" t="n">
        <v>2532.34</v>
      </c>
      <c r="F179" s="22" t="n">
        <v>2515.4</v>
      </c>
      <c r="G179" s="22" t="n">
        <f aca="false">F179-E179</f>
        <v>-16.9400000000001</v>
      </c>
      <c r="H179" s="22" t="n">
        <f aca="false">D179-$B$13</f>
        <v>-412.118263157895</v>
      </c>
      <c r="I179" s="22" t="n">
        <f aca="false">G179-$B$14</f>
        <v>415.84752631579</v>
      </c>
      <c r="J179" s="23" t="n">
        <f aca="false">H179^2</f>
        <v>169841.46282828</v>
      </c>
      <c r="K179" s="23" t="n">
        <f aca="false">I179^2</f>
        <v>172929.165142962</v>
      </c>
      <c r="L179" s="23" t="n">
        <f aca="false">H179*I179</f>
        <v>-171378.36028377</v>
      </c>
    </row>
    <row r="180" customFormat="false" ht="15" hidden="false" customHeight="false" outlineLevel="0" collapsed="false">
      <c r="A180" s="21" t="s">
        <v>204</v>
      </c>
      <c r="B180" s="22" t="n">
        <v>1067</v>
      </c>
      <c r="C180" s="22" t="n">
        <v>1129.27</v>
      </c>
      <c r="D180" s="22" t="n">
        <f aca="false">C180-B180</f>
        <v>62.27</v>
      </c>
      <c r="E180" s="22" t="n">
        <v>7516</v>
      </c>
      <c r="F180" s="22" t="n">
        <v>4981.65</v>
      </c>
      <c r="G180" s="22" t="n">
        <f aca="false">F180-E180</f>
        <v>-2534.35</v>
      </c>
      <c r="H180" s="22" t="n">
        <f aca="false">D180-$B$13</f>
        <v>-382.378263157895</v>
      </c>
      <c r="I180" s="22" t="n">
        <f aca="false">G180-$B$14</f>
        <v>-2101.56247368421</v>
      </c>
      <c r="J180" s="23" t="n">
        <f aca="false">H180^2</f>
        <v>146213.136135648</v>
      </c>
      <c r="K180" s="23" t="n">
        <f aca="false">I180^2</f>
        <v>4416564.8307977</v>
      </c>
      <c r="L180" s="23" t="n">
        <f aca="false">H180*I180</f>
        <v>803591.808605177</v>
      </c>
    </row>
    <row r="181" customFormat="false" ht="15" hidden="false" customHeight="false" outlineLevel="0" collapsed="false">
      <c r="A181" s="21" t="s">
        <v>205</v>
      </c>
      <c r="B181" s="22" t="n">
        <v>14197</v>
      </c>
      <c r="C181" s="22" t="n">
        <v>12413</v>
      </c>
      <c r="D181" s="22" t="n">
        <f aca="false">C181-B181</f>
        <v>-1784</v>
      </c>
      <c r="E181" s="22" t="n">
        <v>20692.24</v>
      </c>
      <c r="F181" s="22" t="n">
        <v>22706.29</v>
      </c>
      <c r="G181" s="22" t="n">
        <f aca="false">F181-E181</f>
        <v>2014.05</v>
      </c>
      <c r="H181" s="22" t="n">
        <f aca="false">D181-$B$13</f>
        <v>-2228.64826315789</v>
      </c>
      <c r="I181" s="22" t="n">
        <f aca="false">G181-$B$14</f>
        <v>2446.83752631579</v>
      </c>
      <c r="J181" s="23" t="n">
        <f aca="false">H181^2</f>
        <v>4966873.0808767</v>
      </c>
      <c r="K181" s="23" t="n">
        <f aca="false">I181^2</f>
        <v>5987013.88018717</v>
      </c>
      <c r="L181" s="23" t="n">
        <f aca="false">H181*I181</f>
        <v>-5453140.20325324</v>
      </c>
    </row>
    <row r="182" customFormat="false" ht="15" hidden="false" customHeight="false" outlineLevel="0" collapsed="false">
      <c r="A182" s="21" t="s">
        <v>206</v>
      </c>
      <c r="B182" s="22" t="n">
        <v>18304</v>
      </c>
      <c r="C182" s="22" t="n">
        <v>16606.51</v>
      </c>
      <c r="D182" s="22" t="n">
        <f aca="false">C182-B182</f>
        <v>-1697.49</v>
      </c>
      <c r="E182" s="22" t="n">
        <v>17093.93</v>
      </c>
      <c r="F182" s="22" t="n">
        <v>19072.49</v>
      </c>
      <c r="G182" s="22" t="n">
        <f aca="false">F182-E182</f>
        <v>1978.56</v>
      </c>
      <c r="H182" s="22" t="n">
        <f aca="false">D182-$B$13</f>
        <v>-2142.1382631579</v>
      </c>
      <c r="I182" s="22" t="n">
        <f aca="false">G182-$B$14</f>
        <v>2411.34752631579</v>
      </c>
      <c r="J182" s="23" t="n">
        <f aca="false">H182^2</f>
        <v>4588756.33848513</v>
      </c>
      <c r="K182" s="23" t="n">
        <f aca="false">I182^2</f>
        <v>5814596.89266929</v>
      </c>
      <c r="L182" s="23" t="n">
        <f aca="false">H182*I182</f>
        <v>-5165439.8018922</v>
      </c>
    </row>
    <row r="183" customFormat="false" ht="15" hidden="false" customHeight="false" outlineLevel="0" collapsed="false">
      <c r="A183" s="21" t="s">
        <v>207</v>
      </c>
      <c r="B183" s="22" t="n">
        <v>1910</v>
      </c>
      <c r="C183" s="22" t="n">
        <v>2566.9</v>
      </c>
      <c r="D183" s="22" t="n">
        <f aca="false">C183-B183</f>
        <v>656.9</v>
      </c>
      <c r="E183" s="22" t="n">
        <v>2231.14</v>
      </c>
      <c r="F183" s="22" t="n">
        <v>2130.58</v>
      </c>
      <c r="G183" s="22" t="n">
        <f aca="false">F183-E183</f>
        <v>-100.56</v>
      </c>
      <c r="H183" s="22" t="n">
        <f aca="false">D183-$B$13</f>
        <v>212.251736842105</v>
      </c>
      <c r="I183" s="22" t="n">
        <f aca="false">G183-$B$14</f>
        <v>332.22752631579</v>
      </c>
      <c r="J183" s="23" t="n">
        <f aca="false">H183^2</f>
        <v>45050.7997924903</v>
      </c>
      <c r="K183" s="23" t="n">
        <f aca="false">I183^2</f>
        <v>110375.129241909</v>
      </c>
      <c r="L183" s="23" t="n">
        <f aca="false">H183*I183</f>
        <v>70515.8694872827</v>
      </c>
    </row>
    <row r="184" customFormat="false" ht="15" hidden="false" customHeight="false" outlineLevel="0" collapsed="false">
      <c r="A184" s="21" t="s">
        <v>208</v>
      </c>
      <c r="B184" s="22" t="n">
        <v>67</v>
      </c>
      <c r="C184" s="22" t="n">
        <v>55.43</v>
      </c>
      <c r="D184" s="22" t="n">
        <f aca="false">C184-B184</f>
        <v>-11.57</v>
      </c>
      <c r="E184" s="22" t="n">
        <v>14901.98</v>
      </c>
      <c r="F184" s="22" t="n">
        <v>14710.7</v>
      </c>
      <c r="G184" s="22" t="n">
        <f aca="false">F184-E184</f>
        <v>-191.279999999999</v>
      </c>
      <c r="H184" s="22" t="n">
        <f aca="false">D184-$B$13</f>
        <v>-456.218263157895</v>
      </c>
      <c r="I184" s="22" t="n">
        <f aca="false">G184-$B$14</f>
        <v>241.507526315791</v>
      </c>
      <c r="J184" s="23" t="n">
        <f aca="false">H184^2</f>
        <v>208135.103638806</v>
      </c>
      <c r="K184" s="23" t="n">
        <f aca="false">I184^2</f>
        <v>58325.8852671725</v>
      </c>
      <c r="L184" s="23" t="n">
        <f aca="false">H184*I184</f>
        <v>-110180.14419535</v>
      </c>
    </row>
    <row r="185" customFormat="false" ht="15" hidden="false" customHeight="false" outlineLevel="0" collapsed="false">
      <c r="A185" s="21" t="s">
        <v>209</v>
      </c>
      <c r="B185" s="22" t="n">
        <v>2602.2</v>
      </c>
      <c r="C185" s="22" t="n">
        <v>2529</v>
      </c>
      <c r="D185" s="22" t="n">
        <f aca="false">C185-B185</f>
        <v>-73.1999999999998</v>
      </c>
      <c r="E185" s="22" t="n">
        <v>28163</v>
      </c>
      <c r="F185" s="22" t="n">
        <v>27934</v>
      </c>
      <c r="G185" s="22" t="n">
        <f aca="false">F185-E185</f>
        <v>-229</v>
      </c>
      <c r="H185" s="22" t="n">
        <f aca="false">D185-$B$13</f>
        <v>-517.848263157895</v>
      </c>
      <c r="I185" s="22" t="n">
        <f aca="false">G185-$B$14</f>
        <v>203.78752631579</v>
      </c>
      <c r="J185" s="23" t="n">
        <f aca="false">H185^2</f>
        <v>268166.823655648</v>
      </c>
      <c r="K185" s="23" t="n">
        <f aca="false">I185^2</f>
        <v>41529.3558819088</v>
      </c>
      <c r="L185" s="23" t="n">
        <f aca="false">H185*I185</f>
        <v>-105531.016555876</v>
      </c>
    </row>
    <row r="186" customFormat="false" ht="15" hidden="false" customHeight="false" outlineLevel="0" collapsed="false">
      <c r="A186" s="21" t="s">
        <v>210</v>
      </c>
      <c r="B186" s="22" t="n">
        <v>431.92</v>
      </c>
      <c r="C186" s="22" t="n">
        <v>421.73</v>
      </c>
      <c r="D186" s="22" t="n">
        <f aca="false">C186-B186</f>
        <v>-10.19</v>
      </c>
      <c r="E186" s="22" t="n">
        <v>1196.18</v>
      </c>
      <c r="F186" s="22" t="n">
        <v>1263.36</v>
      </c>
      <c r="G186" s="22" t="n">
        <f aca="false">F186-E186</f>
        <v>67.1799999999998</v>
      </c>
      <c r="H186" s="22" t="n">
        <f aca="false">D186-$B$13</f>
        <v>-454.838263157895</v>
      </c>
      <c r="I186" s="22" t="n">
        <f aca="false">G186-$B$14</f>
        <v>499.96752631579</v>
      </c>
      <c r="J186" s="23" t="n">
        <f aca="false">H186^2</f>
        <v>206877.84563249</v>
      </c>
      <c r="K186" s="23" t="n">
        <f aca="false">I186^2</f>
        <v>249967.52737033</v>
      </c>
      <c r="L186" s="23" t="n">
        <f aca="false">H186*I186</f>
        <v>-227404.361304823</v>
      </c>
    </row>
    <row r="187" customFormat="false" ht="15" hidden="false" customHeight="false" outlineLevel="0" collapsed="false">
      <c r="A187" s="21" t="s">
        <v>211</v>
      </c>
      <c r="B187" s="22" t="n">
        <v>5352</v>
      </c>
      <c r="C187" s="22" t="n">
        <v>5443.3</v>
      </c>
      <c r="D187" s="22" t="n">
        <f aca="false">C187-B187</f>
        <v>91.3000000000002</v>
      </c>
      <c r="E187" s="22" t="n">
        <v>460.77</v>
      </c>
      <c r="F187" s="22" t="n">
        <v>527.75</v>
      </c>
      <c r="G187" s="22" t="n">
        <f aca="false">F187-E187</f>
        <v>66.98</v>
      </c>
      <c r="H187" s="22" t="n">
        <f aca="false">D187-$B$13</f>
        <v>-353.348263157895</v>
      </c>
      <c r="I187" s="22" t="n">
        <f aca="false">G187-$B$14</f>
        <v>499.76752631579</v>
      </c>
      <c r="J187" s="23" t="n">
        <f aca="false">H187^2</f>
        <v>124854.995076701</v>
      </c>
      <c r="K187" s="23" t="n">
        <f aca="false">I187^2</f>
        <v>249767.580359804</v>
      </c>
      <c r="L187" s="23" t="n">
        <f aca="false">H187*I187</f>
        <v>-176591.987406402</v>
      </c>
    </row>
    <row r="188" customFormat="false" ht="15" hidden="false" customHeight="false" outlineLevel="0" collapsed="false">
      <c r="A188" s="21" t="s">
        <v>212</v>
      </c>
      <c r="B188" s="22" t="n">
        <v>886</v>
      </c>
      <c r="C188" s="22" t="n">
        <v>1049</v>
      </c>
      <c r="D188" s="22" t="n">
        <f aca="false">C188-B188</f>
        <v>163</v>
      </c>
      <c r="E188" s="22" t="n">
        <v>410</v>
      </c>
      <c r="F188" s="22" t="n">
        <v>423.9</v>
      </c>
      <c r="G188" s="22" t="n">
        <f aca="false">F188-E188</f>
        <v>13.9</v>
      </c>
      <c r="H188" s="22" t="n">
        <f aca="false">D188-$B$13</f>
        <v>-281.648263157895</v>
      </c>
      <c r="I188" s="22" t="n">
        <f aca="false">G188-$B$14</f>
        <v>446.68752631579</v>
      </c>
      <c r="J188" s="23" t="n">
        <f aca="false">H188^2</f>
        <v>79325.7441398587</v>
      </c>
      <c r="K188" s="23" t="n">
        <f aca="false">I188^2</f>
        <v>199529.74616612</v>
      </c>
      <c r="L188" s="23" t="n">
        <f aca="false">H188*I188</f>
        <v>-125808.765961139</v>
      </c>
    </row>
    <row r="189" customFormat="false" ht="15" hidden="false" customHeight="false" outlineLevel="0" collapsed="false">
      <c r="A189" s="21" t="s">
        <v>213</v>
      </c>
      <c r="B189" s="22" t="n">
        <v>20977.33</v>
      </c>
      <c r="C189" s="22" t="n">
        <v>21576.12</v>
      </c>
      <c r="D189" s="22" t="n">
        <f aca="false">C189-B189</f>
        <v>598.789999999997</v>
      </c>
      <c r="E189" s="22" t="n">
        <v>20165</v>
      </c>
      <c r="F189" s="22" t="n">
        <v>19923.51</v>
      </c>
      <c r="G189" s="22" t="n">
        <f aca="false">F189-E189</f>
        <v>-241.490000000002</v>
      </c>
      <c r="H189" s="22" t="n">
        <f aca="false">D189-$B$13</f>
        <v>154.141736842103</v>
      </c>
      <c r="I189" s="22" t="n">
        <f aca="false">G189-$B$14</f>
        <v>191.297526315788</v>
      </c>
      <c r="J189" s="23" t="n">
        <f aca="false">H189^2</f>
        <v>23759.6750367</v>
      </c>
      <c r="K189" s="23" t="n">
        <f aca="false">I189^2</f>
        <v>36594.7435745397</v>
      </c>
      <c r="L189" s="23" t="n">
        <f aca="false">H189*I189</f>
        <v>29486.9329599134</v>
      </c>
    </row>
    <row r="190" customFormat="false" ht="15" hidden="false" customHeight="false" outlineLevel="0" collapsed="false">
      <c r="A190" s="21" t="s">
        <v>214</v>
      </c>
      <c r="B190" s="22" t="n">
        <v>187</v>
      </c>
      <c r="C190" s="22" t="n">
        <v>191.4</v>
      </c>
      <c r="D190" s="22" t="n">
        <f aca="false">C190-B190</f>
        <v>4.40000000000001</v>
      </c>
      <c r="E190" s="22" t="n">
        <v>1086.57</v>
      </c>
      <c r="F190" s="22" t="n">
        <v>1056.03</v>
      </c>
      <c r="G190" s="22" t="n">
        <f aca="false">F190-E190</f>
        <v>-30.54</v>
      </c>
      <c r="H190" s="22" t="n">
        <f aca="false">D190-$B$13</f>
        <v>-440.248263157895</v>
      </c>
      <c r="I190" s="22" t="n">
        <f aca="false">G190-$B$14</f>
        <v>402.24752631579</v>
      </c>
      <c r="J190" s="23" t="n">
        <f aca="false">H190^2</f>
        <v>193818.533213543</v>
      </c>
      <c r="K190" s="23" t="n">
        <f aca="false">I190^2</f>
        <v>161803.072427172</v>
      </c>
      <c r="L190" s="23" t="n">
        <f aca="false">H190*I190</f>
        <v>-177088.774820086</v>
      </c>
    </row>
    <row r="191" customFormat="false" ht="15" hidden="false" customHeight="false" outlineLevel="0" collapsed="false">
      <c r="A191" s="21" t="s">
        <v>215</v>
      </c>
      <c r="B191" s="22" t="n">
        <v>2400</v>
      </c>
      <c r="C191" s="22" t="n">
        <v>2753.18</v>
      </c>
      <c r="D191" s="22" t="n">
        <f aca="false">C191-B191</f>
        <v>353.18</v>
      </c>
      <c r="E191" s="22" t="n">
        <v>1268.46</v>
      </c>
      <c r="F191" s="22" t="n">
        <v>1218.38</v>
      </c>
      <c r="G191" s="22" t="n">
        <f aca="false">F191-E191</f>
        <v>-50.0799999999999</v>
      </c>
      <c r="H191" s="22" t="n">
        <f aca="false">D191-$B$13</f>
        <v>-91.4682631578949</v>
      </c>
      <c r="I191" s="22" t="n">
        <f aca="false">G191-$B$14</f>
        <v>382.70752631579</v>
      </c>
      <c r="J191" s="23" t="n">
        <f aca="false">H191^2</f>
        <v>8366.44316512192</v>
      </c>
      <c r="K191" s="23" t="n">
        <f aca="false">I191^2</f>
        <v>146465.050698751</v>
      </c>
      <c r="L191" s="23" t="n">
        <f aca="false">H191*I191</f>
        <v>-35005.5927295597</v>
      </c>
    </row>
    <row r="192" customFormat="false" ht="15" hidden="false" customHeight="false" outlineLevel="0" collapsed="false">
      <c r="A192" s="21" t="s">
        <v>216</v>
      </c>
      <c r="B192" s="22" t="n">
        <v>26</v>
      </c>
      <c r="C192" s="22" t="n">
        <v>30.89</v>
      </c>
      <c r="D192" s="22" t="n">
        <f aca="false">C192-B192</f>
        <v>4.89</v>
      </c>
      <c r="E192" s="22" t="n">
        <v>8.73</v>
      </c>
      <c r="F192" s="22" t="n">
        <v>8.73</v>
      </c>
      <c r="G192" s="22" t="n">
        <f aca="false">F192-E192</f>
        <v>0</v>
      </c>
      <c r="H192" s="22" t="n">
        <f aca="false">D192-$B$13</f>
        <v>-439.758263157895</v>
      </c>
      <c r="I192" s="22" t="n">
        <f aca="false">G192-$B$14</f>
        <v>432.78752631579</v>
      </c>
      <c r="J192" s="23" t="n">
        <f aca="false">H192^2</f>
        <v>193387.330015648</v>
      </c>
      <c r="K192" s="23" t="n">
        <f aca="false">I192^2</f>
        <v>187305.042934541</v>
      </c>
      <c r="L192" s="23" t="n">
        <f aca="false">H192*I192</f>
        <v>-190321.890889033</v>
      </c>
    </row>
    <row r="193" customFormat="false" ht="15" hidden="false" customHeight="false" outlineLevel="0" collapsed="false">
      <c r="A193" s="21" t="s">
        <v>217</v>
      </c>
      <c r="B193" s="22" t="n">
        <v>60</v>
      </c>
      <c r="C193" s="22" t="n">
        <v>53.31</v>
      </c>
      <c r="D193" s="22" t="n">
        <f aca="false">C193-B193</f>
        <v>-6.69</v>
      </c>
      <c r="E193" s="22" t="n">
        <v>236.65</v>
      </c>
      <c r="F193" s="22" t="n">
        <v>226.9</v>
      </c>
      <c r="G193" s="22" t="n">
        <f aca="false">F193-E193</f>
        <v>-9.75</v>
      </c>
      <c r="H193" s="22" t="n">
        <f aca="false">D193-$B$13</f>
        <v>-451.338263157895</v>
      </c>
      <c r="I193" s="22" t="n">
        <f aca="false">G193-$B$14</f>
        <v>423.03752631579</v>
      </c>
      <c r="J193" s="23" t="n">
        <f aca="false">H193^2</f>
        <v>203706.227790385</v>
      </c>
      <c r="K193" s="23" t="n">
        <f aca="false">I193^2</f>
        <v>178960.748671383</v>
      </c>
      <c r="L193" s="23" t="n">
        <f aca="false">H193*I193</f>
        <v>-190933.022377981</v>
      </c>
    </row>
    <row r="194" customFormat="false" ht="15" hidden="false" customHeight="false" outlineLevel="0" collapsed="false">
      <c r="A194" s="21" t="s">
        <v>218</v>
      </c>
      <c r="B194" s="22" t="n">
        <v>4990</v>
      </c>
      <c r="C194" s="22" t="n">
        <v>4891.4</v>
      </c>
      <c r="D194" s="22" t="n">
        <f aca="false">C194-B194</f>
        <v>-98.6000000000004</v>
      </c>
      <c r="E194" s="22" t="n">
        <v>667.84</v>
      </c>
      <c r="F194" s="22" t="n">
        <v>692.09</v>
      </c>
      <c r="G194" s="22" t="n">
        <f aca="false">F194-E194</f>
        <v>24.25</v>
      </c>
      <c r="H194" s="22" t="n">
        <f aca="false">D194-$B$13</f>
        <v>-543.248263157895</v>
      </c>
      <c r="I194" s="22" t="n">
        <f aca="false">G194-$B$14</f>
        <v>457.03752631579</v>
      </c>
      <c r="J194" s="23" t="n">
        <f aca="false">H194^2</f>
        <v>295118.67542407</v>
      </c>
      <c r="K194" s="23" t="n">
        <f aca="false">I194^2</f>
        <v>208883.300460856</v>
      </c>
      <c r="L194" s="23" t="n">
        <f aca="false">H194*I194</f>
        <v>-248284.842369034</v>
      </c>
    </row>
    <row r="195" customFormat="false" ht="15" hidden="false" customHeight="false" outlineLevel="0" collapsed="false">
      <c r="A195" s="21" t="s">
        <v>219</v>
      </c>
      <c r="B195" s="22" t="n">
        <v>1624.26</v>
      </c>
      <c r="C195" s="22" t="n">
        <v>1638.06</v>
      </c>
      <c r="D195" s="22" t="n">
        <f aca="false">C195-B195</f>
        <v>13.8</v>
      </c>
      <c r="E195" s="22" t="n">
        <v>2330</v>
      </c>
      <c r="F195" s="22" t="n">
        <v>2330</v>
      </c>
      <c r="G195" s="22" t="n">
        <f aca="false">F195-E195</f>
        <v>0</v>
      </c>
      <c r="H195" s="22" t="n">
        <f aca="false">D195-$B$13</f>
        <v>-430.848263157895</v>
      </c>
      <c r="I195" s="22" t="n">
        <f aca="false">G195-$B$14</f>
        <v>432.78752631579</v>
      </c>
      <c r="J195" s="23" t="n">
        <f aca="false">H195^2</f>
        <v>185630.225866175</v>
      </c>
      <c r="K195" s="23" t="n">
        <f aca="false">I195^2</f>
        <v>187305.042934541</v>
      </c>
      <c r="L195" s="23" t="n">
        <f aca="false">H195*I195</f>
        <v>-186465.75402956</v>
      </c>
    </row>
    <row r="196" customFormat="false" ht="15" hidden="false" customHeight="false" outlineLevel="0" collapsed="false">
      <c r="A196" s="21" t="s">
        <v>220</v>
      </c>
      <c r="B196" s="22" t="n">
        <v>26379</v>
      </c>
      <c r="C196" s="22" t="n">
        <v>23971</v>
      </c>
      <c r="D196" s="22" t="n">
        <f aca="false">C196-B196</f>
        <v>-2408</v>
      </c>
      <c r="E196" s="22" t="n">
        <v>20148.35</v>
      </c>
      <c r="F196" s="22" t="n">
        <v>22571.6</v>
      </c>
      <c r="G196" s="22" t="n">
        <f aca="false">F196-E196</f>
        <v>2423.25</v>
      </c>
      <c r="H196" s="22" t="n">
        <f aca="false">D196-$B$13</f>
        <v>-2852.64826315789</v>
      </c>
      <c r="I196" s="22" t="n">
        <f aca="false">G196-$B$14</f>
        <v>2856.03752631579</v>
      </c>
      <c r="J196" s="23" t="n">
        <f aca="false">H196^2</f>
        <v>8137602.11329775</v>
      </c>
      <c r="K196" s="23" t="n">
        <f aca="false">I196^2</f>
        <v>8156950.35172402</v>
      </c>
      <c r="L196" s="23" t="n">
        <f aca="false">H196*I196</f>
        <v>-8147270.48895851</v>
      </c>
    </row>
    <row r="197" customFormat="false" ht="15" hidden="false" customHeight="false" outlineLevel="0" collapsed="false">
      <c r="A197" s="21" t="s">
        <v>221</v>
      </c>
      <c r="B197" s="22" t="n">
        <v>7400</v>
      </c>
      <c r="C197" s="22" t="n">
        <v>11499</v>
      </c>
      <c r="D197" s="22" t="n">
        <f aca="false">C197-B197</f>
        <v>4099</v>
      </c>
      <c r="E197" s="22" t="n">
        <v>3400.84</v>
      </c>
      <c r="F197" s="22" t="n">
        <v>2423.87</v>
      </c>
      <c r="G197" s="22" t="n">
        <f aca="false">F197-E197</f>
        <v>-976.97</v>
      </c>
      <c r="H197" s="22" t="n">
        <f aca="false">D197-$B$13</f>
        <v>3654.35173684211</v>
      </c>
      <c r="I197" s="22" t="n">
        <f aca="false">G197-$B$14</f>
        <v>-544.18247368421</v>
      </c>
      <c r="J197" s="23" t="n">
        <f aca="false">H197^2</f>
        <v>13354286.6165609</v>
      </c>
      <c r="K197" s="23" t="n">
        <f aca="false">I197^2</f>
        <v>296134.564665066</v>
      </c>
      <c r="L197" s="23" t="n">
        <f aca="false">H197*I197</f>
        <v>-1988634.16786693</v>
      </c>
    </row>
    <row r="198" customFormat="false" ht="15" hidden="false" customHeight="false" outlineLevel="0" collapsed="false">
      <c r="A198" s="21" t="s">
        <v>222</v>
      </c>
      <c r="B198" s="22" t="n">
        <v>33496</v>
      </c>
      <c r="C198" s="22" t="n">
        <v>33777</v>
      </c>
      <c r="D198" s="22" t="n">
        <f aca="false">C198-B198</f>
        <v>281</v>
      </c>
      <c r="E198" s="22" t="n">
        <v>9510</v>
      </c>
      <c r="F198" s="22" t="n">
        <v>10014</v>
      </c>
      <c r="G198" s="22" t="n">
        <f aca="false">F198-E198</f>
        <v>504</v>
      </c>
      <c r="H198" s="22" t="n">
        <f aca="false">D198-$B$13</f>
        <v>-163.648263157895</v>
      </c>
      <c r="I198" s="22" t="n">
        <f aca="false">G198-$B$14</f>
        <v>936.78752631579</v>
      </c>
      <c r="J198" s="23" t="n">
        <f aca="false">H198^2</f>
        <v>26780.7540345956</v>
      </c>
      <c r="K198" s="23" t="n">
        <f aca="false">I198^2</f>
        <v>877570.869460857</v>
      </c>
      <c r="L198" s="23" t="n">
        <f aca="false">H198*I198</f>
        <v>-153303.65162956</v>
      </c>
    </row>
    <row r="199" customFormat="false" ht="15" hidden="false" customHeight="false" outlineLevel="0" collapsed="false">
      <c r="A199" s="21" t="s">
        <v>223</v>
      </c>
      <c r="B199" s="22" t="n">
        <v>247</v>
      </c>
      <c r="C199" s="22" t="n">
        <v>97.33</v>
      </c>
      <c r="D199" s="22" t="n">
        <f aca="false">C199-B199</f>
        <v>-149.67</v>
      </c>
      <c r="E199" s="22" t="n">
        <v>314.97</v>
      </c>
      <c r="F199" s="22" t="n">
        <v>323.91</v>
      </c>
      <c r="G199" s="22" t="n">
        <f aca="false">F199-E199</f>
        <v>8.94</v>
      </c>
      <c r="H199" s="22" t="n">
        <f aca="false">D199-$B$13</f>
        <v>-594.318263157895</v>
      </c>
      <c r="I199" s="22" t="n">
        <f aca="false">G199-$B$14</f>
        <v>441.72752631579</v>
      </c>
      <c r="J199" s="23" t="n">
        <f aca="false">H199^2</f>
        <v>353214.197923017</v>
      </c>
      <c r="K199" s="23" t="n">
        <f aca="false">I199^2</f>
        <v>195123.207505067</v>
      </c>
      <c r="L199" s="23" t="n">
        <f aca="false">H199*I199</f>
        <v>-262526.736229034</v>
      </c>
    </row>
    <row r="200" customFormat="false" ht="15" hidden="false" customHeight="false" outlineLevel="0" collapsed="false">
      <c r="A200" s="21" t="s">
        <v>224</v>
      </c>
      <c r="B200" s="22" t="n">
        <v>5928</v>
      </c>
      <c r="C200" s="22" t="n">
        <v>6086.18</v>
      </c>
      <c r="D200" s="22" t="n">
        <f aca="false">C200-B200</f>
        <v>158.18</v>
      </c>
      <c r="E200" s="22" t="n">
        <v>2954</v>
      </c>
      <c r="F200" s="22" t="n">
        <v>3252.8</v>
      </c>
      <c r="G200" s="22" t="n">
        <f aca="false">F200-E200</f>
        <v>298.8</v>
      </c>
      <c r="H200" s="22" t="n">
        <f aca="false">D200-$B$13</f>
        <v>-286.468263157894</v>
      </c>
      <c r="I200" s="22" t="n">
        <f aca="false">G200-$B$14</f>
        <v>731.58752631579</v>
      </c>
      <c r="J200" s="23" t="n">
        <f aca="false">H200^2</f>
        <v>82064.0657967007</v>
      </c>
      <c r="K200" s="23" t="n">
        <f aca="false">I200^2</f>
        <v>535220.308660857</v>
      </c>
      <c r="L200" s="23" t="n">
        <f aca="false">H200*I200</f>
        <v>-209576.608011665</v>
      </c>
    </row>
    <row r="201" customFormat="false" ht="15" hidden="false" customHeight="false" outlineLevel="0" collapsed="false">
      <c r="A201" s="21" t="s">
        <v>225</v>
      </c>
      <c r="B201" s="22" t="n">
        <v>10050</v>
      </c>
      <c r="C201" s="22" t="n">
        <v>15900</v>
      </c>
      <c r="D201" s="22" t="n">
        <f aca="false">C201-B201</f>
        <v>5850</v>
      </c>
      <c r="E201" s="22" t="n">
        <v>54135</v>
      </c>
      <c r="F201" s="22" t="n">
        <v>44338</v>
      </c>
      <c r="G201" s="22" t="n">
        <f aca="false">F201-E201</f>
        <v>-9797</v>
      </c>
      <c r="H201" s="22" t="n">
        <f aca="false">D201-$B$13</f>
        <v>5405.35173684211</v>
      </c>
      <c r="I201" s="22" t="n">
        <f aca="false">G201-$B$14</f>
        <v>-9364.21247368421</v>
      </c>
      <c r="J201" s="23" t="n">
        <f aca="false">H201^2</f>
        <v>29217827.398982</v>
      </c>
      <c r="K201" s="23" t="n">
        <f aca="false">I201^2</f>
        <v>87688475.252303</v>
      </c>
      <c r="L201" s="23" t="n">
        <f aca="false">H201*I201</f>
        <v>-50616862.1587875</v>
      </c>
    </row>
    <row r="202" customFormat="false" ht="15" hidden="false" customHeight="false" outlineLevel="0" collapsed="false">
      <c r="A202" s="21" t="s">
        <v>226</v>
      </c>
      <c r="B202" s="22" t="n">
        <v>178068</v>
      </c>
      <c r="C202" s="22" t="n">
        <v>154734.13</v>
      </c>
      <c r="D202" s="22" t="n">
        <f aca="false">C202-B202</f>
        <v>-23333.87</v>
      </c>
      <c r="E202" s="22" t="n">
        <v>303536</v>
      </c>
      <c r="F202" s="22" t="n">
        <v>309039</v>
      </c>
      <c r="G202" s="22" t="n">
        <f aca="false">F202-E202</f>
        <v>5503</v>
      </c>
      <c r="H202" s="22" t="n">
        <f aca="false">D202-$B$13</f>
        <v>-23778.5182631579</v>
      </c>
      <c r="I202" s="22" t="n">
        <f aca="false">G202-$B$14</f>
        <v>5935.78752631579</v>
      </c>
      <c r="J202" s="23" t="n">
        <f aca="false">H202^2</f>
        <v>565417930.791333</v>
      </c>
      <c r="K202" s="23" t="n">
        <f aca="false">I202^2</f>
        <v>35233573.5575661</v>
      </c>
      <c r="L202" s="23" t="n">
        <f aca="false">H202*I202</f>
        <v>-141144232.100725</v>
      </c>
    </row>
    <row r="203" customFormat="false" ht="15" hidden="false" customHeight="false" outlineLevel="0" collapsed="false">
      <c r="A203" s="21" t="s">
        <v>227</v>
      </c>
      <c r="B203" s="22" t="n">
        <v>1415</v>
      </c>
      <c r="C203" s="22" t="n">
        <v>2340.23</v>
      </c>
      <c r="D203" s="22" t="n">
        <f aca="false">C203-B203</f>
        <v>925.23</v>
      </c>
      <c r="E203" s="22" t="n">
        <v>1336.29</v>
      </c>
      <c r="F203" s="22" t="n">
        <v>1987.21</v>
      </c>
      <c r="G203" s="22" t="n">
        <f aca="false">F203-E203</f>
        <v>650.92</v>
      </c>
      <c r="H203" s="22" t="n">
        <f aca="false">D203-$B$13</f>
        <v>480.581736842105</v>
      </c>
      <c r="I203" s="22" t="n">
        <f aca="false">G203-$B$14</f>
        <v>1083.70752631579</v>
      </c>
      <c r="J203" s="23" t="n">
        <f aca="false">H203^2</f>
        <v>230958.805786175</v>
      </c>
      <c r="K203" s="23" t="n">
        <f aca="false">I203^2</f>
        <v>1174422.00259349</v>
      </c>
      <c r="L203" s="23" t="n">
        <f aca="false">H203*I203</f>
        <v>520810.045225704</v>
      </c>
    </row>
    <row r="204" customFormat="false" ht="15" hidden="false" customHeight="false" outlineLevel="0" collapsed="false">
      <c r="A204" s="21" t="s">
        <v>228</v>
      </c>
      <c r="B204" s="22" t="n">
        <v>4831.83</v>
      </c>
      <c r="C204" s="22" t="n">
        <v>4468</v>
      </c>
      <c r="D204" s="22" t="n">
        <f aca="false">C204-B204</f>
        <v>-363.83</v>
      </c>
      <c r="E204" s="22" t="n">
        <v>2961.46</v>
      </c>
      <c r="F204" s="22" t="n">
        <v>3812.11</v>
      </c>
      <c r="G204" s="22" t="n">
        <f aca="false">F204-E204</f>
        <v>850.65</v>
      </c>
      <c r="H204" s="22" t="n">
        <f aca="false">D204-$B$13</f>
        <v>-808.478263157895</v>
      </c>
      <c r="I204" s="22" t="n">
        <f aca="false">G204-$B$14</f>
        <v>1283.43752631579</v>
      </c>
      <c r="J204" s="23" t="n">
        <f aca="false">H204^2</f>
        <v>653637.101998806</v>
      </c>
      <c r="K204" s="23" t="n">
        <f aca="false">I204^2</f>
        <v>1647211.88395559</v>
      </c>
      <c r="L204" s="23" t="n">
        <f aca="false">H204*I204</f>
        <v>-1037631.34214745</v>
      </c>
    </row>
    <row r="205" customFormat="false" ht="15" hidden="false" customHeight="false" outlineLevel="0" collapsed="false">
      <c r="A205" s="21" t="s">
        <v>229</v>
      </c>
      <c r="B205" s="22" t="n">
        <v>115</v>
      </c>
      <c r="C205" s="22" t="n">
        <v>119.68</v>
      </c>
      <c r="D205" s="22" t="n">
        <f aca="false">C205-B205</f>
        <v>4.68000000000001</v>
      </c>
      <c r="E205" s="22" t="n">
        <v>967.05</v>
      </c>
      <c r="F205" s="22" t="n">
        <v>912.21</v>
      </c>
      <c r="G205" s="22" t="n">
        <f aca="false">F205-E205</f>
        <v>-54.8399999999999</v>
      </c>
      <c r="H205" s="22" t="n">
        <f aca="false">D205-$B$13</f>
        <v>-439.968263157895</v>
      </c>
      <c r="I205" s="22" t="n">
        <f aca="false">G205-$B$14</f>
        <v>377.94752631579</v>
      </c>
      <c r="J205" s="23" t="n">
        <f aca="false">H205^2</f>
        <v>193572.072586175</v>
      </c>
      <c r="K205" s="23" t="n">
        <f aca="false">I205^2</f>
        <v>142844.332648225</v>
      </c>
      <c r="L205" s="23" t="n">
        <f aca="false">H205*I205</f>
        <v>-166284.916717981</v>
      </c>
    </row>
    <row r="206" customFormat="false" ht="15" hidden="false" customHeight="false" outlineLevel="0" collapsed="false">
      <c r="A206" s="21" t="s">
        <v>230</v>
      </c>
      <c r="B206" s="22" t="n">
        <v>3395</v>
      </c>
      <c r="C206" s="22" t="n">
        <v>3300</v>
      </c>
      <c r="D206" s="22" t="n">
        <f aca="false">C206-B206</f>
        <v>-95</v>
      </c>
      <c r="E206" s="22" t="n">
        <v>49231.58</v>
      </c>
      <c r="F206" s="22" t="n">
        <v>47186.82</v>
      </c>
      <c r="G206" s="22" t="n">
        <f aca="false">F206-E206</f>
        <v>-2044.76</v>
      </c>
      <c r="H206" s="22" t="n">
        <f aca="false">D206-$B$13</f>
        <v>-539.648263157895</v>
      </c>
      <c r="I206" s="22" t="n">
        <f aca="false">G206-$B$14</f>
        <v>-1611.97247368421</v>
      </c>
      <c r="J206" s="23" t="n">
        <f aca="false">H206^2</f>
        <v>291220.247929332</v>
      </c>
      <c r="K206" s="23" t="n">
        <f aca="false">I206^2</f>
        <v>2598455.2559156</v>
      </c>
      <c r="L206" s="23" t="n">
        <f aca="false">H206*I206</f>
        <v>869898.14568202</v>
      </c>
    </row>
    <row r="207" customFormat="false" ht="15" hidden="false" customHeight="false" outlineLevel="0" collapsed="false">
      <c r="A207" s="21" t="s">
        <v>231</v>
      </c>
      <c r="B207" s="22" t="n">
        <v>8291.67</v>
      </c>
      <c r="C207" s="22" t="n">
        <v>11649.04</v>
      </c>
      <c r="D207" s="22" t="n">
        <f aca="false">C207-B207</f>
        <v>3357.37</v>
      </c>
      <c r="E207" s="22" t="n">
        <v>11784.1</v>
      </c>
      <c r="F207" s="22" t="n">
        <v>14744.94</v>
      </c>
      <c r="G207" s="22" t="n">
        <f aca="false">F207-E207</f>
        <v>2960.84</v>
      </c>
      <c r="H207" s="22" t="n">
        <f aca="false">D207-$B$13</f>
        <v>2912.72173684211</v>
      </c>
      <c r="I207" s="22" t="n">
        <f aca="false">G207-$B$14</f>
        <v>3393.62752631579</v>
      </c>
      <c r="J207" s="23" t="n">
        <f aca="false">H207^2</f>
        <v>8483947.9162725</v>
      </c>
      <c r="K207" s="23" t="n">
        <f aca="false">I207^2</f>
        <v>11516707.7873682</v>
      </c>
      <c r="L207" s="23" t="n">
        <f aca="false">H207*I207</f>
        <v>9884692.66264571</v>
      </c>
    </row>
    <row r="208" customFormat="false" ht="15" hidden="false" customHeight="false" outlineLevel="0" collapsed="false">
      <c r="A208" s="21" t="s">
        <v>232</v>
      </c>
      <c r="B208" s="22" t="n">
        <v>1669</v>
      </c>
      <c r="C208" s="22" t="n">
        <v>1452</v>
      </c>
      <c r="D208" s="22" t="n">
        <f aca="false">C208-B208</f>
        <v>-217</v>
      </c>
      <c r="E208" s="22" t="n">
        <v>549</v>
      </c>
      <c r="F208" s="22" t="n">
        <v>549</v>
      </c>
      <c r="G208" s="22" t="n">
        <f aca="false">F208-E208</f>
        <v>0</v>
      </c>
      <c r="H208" s="22" t="n">
        <f aca="false">D208-$B$13</f>
        <v>-661.648263157895</v>
      </c>
      <c r="I208" s="22" t="n">
        <f aca="false">G208-$B$14</f>
        <v>432.78752631579</v>
      </c>
      <c r="J208" s="23" t="n">
        <f aca="false">H208^2</f>
        <v>437778.424139859</v>
      </c>
      <c r="K208" s="23" t="n">
        <f aca="false">I208^2</f>
        <v>187305.042934541</v>
      </c>
      <c r="L208" s="23" t="n">
        <f aca="false">H208*I208</f>
        <v>-286353.115103244</v>
      </c>
    </row>
    <row r="209" customFormat="false" ht="15" hidden="false" customHeight="false" outlineLevel="0" collapsed="false">
      <c r="A209" s="21" t="s">
        <v>233</v>
      </c>
      <c r="B209" s="22" t="n">
        <v>2869.92</v>
      </c>
      <c r="C209" s="22" t="n">
        <v>3840.43</v>
      </c>
      <c r="D209" s="22" t="n">
        <f aca="false">C209-B209</f>
        <v>970.51</v>
      </c>
      <c r="E209" s="22" t="n">
        <v>47054</v>
      </c>
      <c r="F209" s="22" t="n">
        <v>45068.6</v>
      </c>
      <c r="G209" s="22" t="n">
        <f aca="false">F209-E209</f>
        <v>-1985.4</v>
      </c>
      <c r="H209" s="22" t="n">
        <f aca="false">D209-$B$13</f>
        <v>525.861736842105</v>
      </c>
      <c r="I209" s="22" t="n">
        <f aca="false">G209-$B$14</f>
        <v>-1552.61247368421</v>
      </c>
      <c r="J209" s="23" t="n">
        <f aca="false">H209^2</f>
        <v>276530.566274595</v>
      </c>
      <c r="K209" s="23" t="n">
        <f aca="false">I209^2</f>
        <v>2410605.49343981</v>
      </c>
      <c r="L209" s="23" t="n">
        <f aca="false">H209*I209</f>
        <v>-816459.492054297</v>
      </c>
    </row>
    <row r="210" customFormat="false" ht="15" hidden="false" customHeight="false" outlineLevel="0" collapsed="false">
      <c r="A210" s="21" t="s">
        <v>234</v>
      </c>
      <c r="B210" s="22" t="n">
        <v>3757.29</v>
      </c>
      <c r="C210" s="22" t="n">
        <v>4066.93</v>
      </c>
      <c r="D210" s="22" t="n">
        <f aca="false">C210-B210</f>
        <v>309.64</v>
      </c>
      <c r="E210" s="22" t="n">
        <v>15658.19</v>
      </c>
      <c r="F210" s="22" t="n">
        <v>13872.01</v>
      </c>
      <c r="G210" s="22" t="n">
        <f aca="false">F210-E210</f>
        <v>-1786.18</v>
      </c>
      <c r="H210" s="22" t="n">
        <f aca="false">D210-$B$13</f>
        <v>-135.008263157895</v>
      </c>
      <c r="I210" s="22" t="n">
        <f aca="false">G210-$B$14</f>
        <v>-1353.39247368421</v>
      </c>
      <c r="J210" s="23" t="n">
        <f aca="false">H210^2</f>
        <v>18227.2311209114</v>
      </c>
      <c r="K210" s="23" t="n">
        <f aca="false">I210^2</f>
        <v>1831671.18782507</v>
      </c>
      <c r="L210" s="23" t="n">
        <f aca="false">H210*I210</f>
        <v>182719.167243072</v>
      </c>
    </row>
  </sheetData>
  <mergeCells count="2">
    <mergeCell ref="A1:L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4" min="3" style="0" width="14"/>
    <col collapsed="false" customWidth="true" hidden="false" outlineLevel="0" max="5" min="5" style="0" width="18"/>
  </cols>
  <sheetData>
    <row r="1" customFormat="false" ht="25.5" hidden="false" customHeight="true" outlineLevel="0" collapsed="false">
      <c r="A1" s="6" t="s">
        <v>235</v>
      </c>
      <c r="B1" s="6"/>
      <c r="C1" s="6"/>
      <c r="D1" s="6"/>
      <c r="E1" s="6"/>
    </row>
    <row r="3" customFormat="false" ht="15" hidden="false" customHeight="false" outlineLevel="0" collapsed="false">
      <c r="A3" s="27" t="s">
        <v>236</v>
      </c>
      <c r="D3" s="28" t="n">
        <f aca="false">SUM($D$7:$D$196)</f>
        <v>196503.39</v>
      </c>
    </row>
    <row r="4" customFormat="false" ht="17.35" hidden="false" customHeight="false" outlineLevel="0" collapsed="false">
      <c r="A4" s="29" t="s">
        <v>237</v>
      </c>
      <c r="C4" s="30" t="n">
        <f aca="false">INDEX($D$7:$D$196,MATCH("Brazil",$B$7:$B$196,0))</f>
        <v>68121.63</v>
      </c>
      <c r="D4" s="31" t="n">
        <f aca="false">C4/D3</f>
        <v>0.346668981130555</v>
      </c>
    </row>
    <row r="6" customFormat="false" ht="30" hidden="false" customHeight="true" outlineLevel="0" collapsed="false">
      <c r="A6" s="20" t="s">
        <v>238</v>
      </c>
      <c r="B6" s="20" t="s">
        <v>33</v>
      </c>
      <c r="C6" s="20" t="s">
        <v>239</v>
      </c>
      <c r="D6" s="20" t="s">
        <v>240</v>
      </c>
      <c r="E6" s="20" t="s">
        <v>241</v>
      </c>
    </row>
    <row r="7" customFormat="false" ht="15" hidden="false" customHeight="false" outlineLevel="0" collapsed="false">
      <c r="A7" s="32" t="n">
        <v>1</v>
      </c>
      <c r="B7" s="33" t="s">
        <v>67</v>
      </c>
      <c r="C7" s="25" t="n">
        <v>-68121.63</v>
      </c>
      <c r="D7" s="25" t="n">
        <f aca="false">MAX(0,-C7)</f>
        <v>68121.63</v>
      </c>
      <c r="E7" s="34" t="n">
        <f aca="false">IF($D$3=0,0,D7/$D$3)</f>
        <v>0.346668981130555</v>
      </c>
    </row>
    <row r="8" customFormat="false" ht="15" hidden="false" customHeight="false" outlineLevel="0" collapsed="false">
      <c r="A8" s="35" t="n">
        <v>2</v>
      </c>
      <c r="B8" s="36" t="s">
        <v>91</v>
      </c>
      <c r="C8" s="22" t="n">
        <v>-14035.48</v>
      </c>
      <c r="D8" s="22" t="n">
        <f aca="false">MAX(0,-C8)</f>
        <v>14035.48</v>
      </c>
      <c r="E8" s="37" t="n">
        <f aca="false">IF($D$3=0,0,D8/$D$3)</f>
        <v>0.0714261468975166</v>
      </c>
    </row>
    <row r="9" customFormat="false" ht="15" hidden="false" customHeight="false" outlineLevel="0" collapsed="false">
      <c r="A9" s="35" t="n">
        <v>3</v>
      </c>
      <c r="B9" s="36" t="s">
        <v>48</v>
      </c>
      <c r="C9" s="22" t="n">
        <v>-11730.69</v>
      </c>
      <c r="D9" s="22" t="n">
        <f aca="false">MAX(0,-C9)</f>
        <v>11730.69</v>
      </c>
      <c r="E9" s="37" t="n">
        <f aca="false">IF($D$3=0,0,D9/$D$3)</f>
        <v>0.0596971380493741</v>
      </c>
    </row>
    <row r="10" customFormat="false" ht="15" hidden="false" customHeight="false" outlineLevel="0" collapsed="false">
      <c r="A10" s="35" t="n">
        <v>4</v>
      </c>
      <c r="B10" s="36" t="s">
        <v>225</v>
      </c>
      <c r="C10" s="22" t="n">
        <v>-9797</v>
      </c>
      <c r="D10" s="22" t="n">
        <f aca="false">MAX(0,-C10)</f>
        <v>9797</v>
      </c>
      <c r="E10" s="37" t="n">
        <f aca="false">IF($D$3=0,0,D10/$D$3)</f>
        <v>0.0498566462390293</v>
      </c>
    </row>
    <row r="11" customFormat="false" ht="15" hidden="false" customHeight="false" outlineLevel="0" collapsed="false">
      <c r="A11" s="35" t="n">
        <v>5</v>
      </c>
      <c r="B11" s="36" t="s">
        <v>178</v>
      </c>
      <c r="C11" s="22" t="n">
        <v>-7284.9</v>
      </c>
      <c r="D11" s="22" t="n">
        <f aca="false">MAX(0,-C11)</f>
        <v>7284.9</v>
      </c>
      <c r="E11" s="37" t="n">
        <f aca="false">IF($D$3=0,0,D11/$D$3)</f>
        <v>0.0370726428689093</v>
      </c>
    </row>
    <row r="12" customFormat="false" ht="15" hidden="false" customHeight="false" outlineLevel="0" collapsed="false">
      <c r="A12" s="35" t="n">
        <v>6</v>
      </c>
      <c r="B12" s="36" t="s">
        <v>162</v>
      </c>
      <c r="C12" s="22" t="n">
        <v>-7193.37</v>
      </c>
      <c r="D12" s="22" t="n">
        <f aca="false">MAX(0,-C12)</f>
        <v>7193.37</v>
      </c>
      <c r="E12" s="37" t="n">
        <f aca="false">IF($D$3=0,0,D12/$D$3)</f>
        <v>0.0366068493780184</v>
      </c>
    </row>
    <row r="13" customFormat="false" ht="15" hidden="false" customHeight="false" outlineLevel="0" collapsed="false">
      <c r="A13" s="35" t="n">
        <v>7</v>
      </c>
      <c r="B13" s="36" t="s">
        <v>50</v>
      </c>
      <c r="C13" s="22" t="n">
        <v>-6485.18</v>
      </c>
      <c r="D13" s="22" t="n">
        <f aca="false">MAX(0,-C13)</f>
        <v>6485.18</v>
      </c>
      <c r="E13" s="37" t="n">
        <f aca="false">IF($D$3=0,0,D13/$D$3)</f>
        <v>0.0330028911969407</v>
      </c>
    </row>
    <row r="14" customFormat="false" ht="15" hidden="false" customHeight="false" outlineLevel="0" collapsed="false">
      <c r="A14" s="35" t="n">
        <v>8</v>
      </c>
      <c r="B14" s="36" t="s">
        <v>179</v>
      </c>
      <c r="C14" s="22" t="n">
        <v>-6286.08</v>
      </c>
      <c r="D14" s="22" t="n">
        <f aca="false">MAX(0,-C14)</f>
        <v>6286.08</v>
      </c>
      <c r="E14" s="37" t="n">
        <f aca="false">IF($D$3=0,0,D14/$D$3)</f>
        <v>0.0319896771246542</v>
      </c>
    </row>
    <row r="15" customFormat="false" ht="15" hidden="false" customHeight="false" outlineLevel="0" collapsed="false">
      <c r="A15" s="35" t="n">
        <v>9</v>
      </c>
      <c r="B15" s="36" t="s">
        <v>161</v>
      </c>
      <c r="C15" s="22" t="n">
        <v>-6141.66</v>
      </c>
      <c r="D15" s="22" t="n">
        <f aca="false">MAX(0,-C15)</f>
        <v>6141.66</v>
      </c>
      <c r="E15" s="37" t="n">
        <f aca="false">IF($D$3=0,0,D15/$D$3)</f>
        <v>0.0312547279718686</v>
      </c>
    </row>
    <row r="16" customFormat="false" ht="15" hidden="false" customHeight="false" outlineLevel="0" collapsed="false">
      <c r="A16" s="35" t="n">
        <v>10</v>
      </c>
      <c r="B16" s="36" t="s">
        <v>64</v>
      </c>
      <c r="C16" s="22" t="n">
        <v>-4236.18</v>
      </c>
      <c r="D16" s="22" t="n">
        <f aca="false">MAX(0,-C16)</f>
        <v>4236.18</v>
      </c>
      <c r="E16" s="37" t="n">
        <f aca="false">IF($D$3=0,0,D16/$D$3)</f>
        <v>0.021557796025809</v>
      </c>
    </row>
    <row r="17" customFormat="false" ht="15" hidden="false" customHeight="false" outlineLevel="0" collapsed="false">
      <c r="A17" s="35" t="n">
        <v>11</v>
      </c>
      <c r="B17" s="36" t="s">
        <v>73</v>
      </c>
      <c r="C17" s="22" t="n">
        <v>-3830.36</v>
      </c>
      <c r="D17" s="22" t="n">
        <f aca="false">MAX(0,-C17)</f>
        <v>3830.36</v>
      </c>
      <c r="E17" s="37" t="n">
        <f aca="false">IF($D$3=0,0,D17/$D$3)</f>
        <v>0.0194925899242756</v>
      </c>
    </row>
    <row r="18" customFormat="false" ht="15" hidden="false" customHeight="false" outlineLevel="0" collapsed="false">
      <c r="A18" s="35" t="n">
        <v>12</v>
      </c>
      <c r="B18" s="36" t="s">
        <v>157</v>
      </c>
      <c r="C18" s="22" t="n">
        <v>-3072.54</v>
      </c>
      <c r="D18" s="22" t="n">
        <f aca="false">MAX(0,-C18)</f>
        <v>3072.54</v>
      </c>
      <c r="E18" s="37" t="n">
        <f aca="false">IF($D$3=0,0,D18/$D$3)</f>
        <v>0.0156360661258821</v>
      </c>
    </row>
    <row r="19" customFormat="false" ht="15" hidden="false" customHeight="false" outlineLevel="0" collapsed="false">
      <c r="A19" s="35" t="n">
        <v>13</v>
      </c>
      <c r="B19" s="36" t="s">
        <v>169</v>
      </c>
      <c r="C19" s="22" t="n">
        <v>-2918.31</v>
      </c>
      <c r="D19" s="22" t="n">
        <f aca="false">MAX(0,-C19)</f>
        <v>2918.31</v>
      </c>
      <c r="E19" s="37" t="n">
        <f aca="false">IF($D$3=0,0,D19/$D$3)</f>
        <v>0.014851194170238</v>
      </c>
    </row>
    <row r="20" customFormat="false" ht="15" hidden="false" customHeight="false" outlineLevel="0" collapsed="false">
      <c r="A20" s="35" t="n">
        <v>14</v>
      </c>
      <c r="B20" s="36" t="s">
        <v>70</v>
      </c>
      <c r="C20" s="22" t="n">
        <v>-2901.28</v>
      </c>
      <c r="D20" s="22" t="n">
        <f aca="false">MAX(0,-C20)</f>
        <v>2901.28</v>
      </c>
      <c r="E20" s="37" t="n">
        <f aca="false">IF($D$3=0,0,D20/$D$3)</f>
        <v>0.0147645289987109</v>
      </c>
    </row>
    <row r="21" customFormat="false" ht="15" hidden="false" customHeight="false" outlineLevel="0" collapsed="false">
      <c r="A21" s="35" t="n">
        <v>15</v>
      </c>
      <c r="B21" s="36" t="s">
        <v>80</v>
      </c>
      <c r="C21" s="22" t="n">
        <v>-2846.91</v>
      </c>
      <c r="D21" s="22" t="n">
        <f aca="false">MAX(0,-C21)</f>
        <v>2846.91</v>
      </c>
      <c r="E21" s="37" t="n">
        <f aca="false">IF($D$3=0,0,D21/$D$3)</f>
        <v>0.0144878416601362</v>
      </c>
    </row>
    <row r="22" customFormat="false" ht="15" hidden="false" customHeight="false" outlineLevel="0" collapsed="false">
      <c r="A22" s="35" t="n">
        <v>16</v>
      </c>
      <c r="B22" s="36" t="s">
        <v>148</v>
      </c>
      <c r="C22" s="22" t="n">
        <v>-2843.72</v>
      </c>
      <c r="D22" s="22" t="n">
        <f aca="false">MAX(0,-C22)</f>
        <v>2843.72</v>
      </c>
      <c r="E22" s="37" t="n">
        <f aca="false">IF($D$3=0,0,D22/$D$3)</f>
        <v>0.0144716078435085</v>
      </c>
    </row>
    <row r="23" customFormat="false" ht="15" hidden="false" customHeight="false" outlineLevel="0" collapsed="false">
      <c r="A23" s="35" t="n">
        <v>17</v>
      </c>
      <c r="B23" s="36" t="s">
        <v>204</v>
      </c>
      <c r="C23" s="22" t="n">
        <v>-2534.35</v>
      </c>
      <c r="D23" s="22" t="n">
        <f aca="false">MAX(0,-C23)</f>
        <v>2534.35</v>
      </c>
      <c r="E23" s="37" t="n">
        <f aca="false">IF($D$3=0,0,D23/$D$3)</f>
        <v>0.0128972329688562</v>
      </c>
    </row>
    <row r="24" customFormat="false" ht="15" hidden="false" customHeight="false" outlineLevel="0" collapsed="false">
      <c r="A24" s="35" t="n">
        <v>18</v>
      </c>
      <c r="B24" s="36" t="s">
        <v>77</v>
      </c>
      <c r="C24" s="22" t="n">
        <v>-2485.59</v>
      </c>
      <c r="D24" s="22" t="n">
        <f aca="false">MAX(0,-C24)</f>
        <v>2485.59</v>
      </c>
      <c r="E24" s="37" t="n">
        <f aca="false">IF($D$3=0,0,D24/$D$3)</f>
        <v>0.0126490947560752</v>
      </c>
    </row>
    <row r="25" customFormat="false" ht="15" hidden="false" customHeight="false" outlineLevel="0" collapsed="false">
      <c r="A25" s="35" t="n">
        <v>19</v>
      </c>
      <c r="B25" s="36" t="s">
        <v>62</v>
      </c>
      <c r="C25" s="22" t="n">
        <v>-2466.24</v>
      </c>
      <c r="D25" s="22" t="n">
        <f aca="false">MAX(0,-C25)</f>
        <v>2466.24</v>
      </c>
      <c r="E25" s="37" t="n">
        <f aca="false">IF($D$3=0,0,D25/$D$3)</f>
        <v>0.0125506231724552</v>
      </c>
    </row>
    <row r="26" customFormat="false" ht="15" hidden="false" customHeight="false" outlineLevel="0" collapsed="false">
      <c r="A26" s="35" t="n">
        <v>20</v>
      </c>
      <c r="B26" s="36" t="s">
        <v>152</v>
      </c>
      <c r="C26" s="22" t="n">
        <v>-2312.56</v>
      </c>
      <c r="D26" s="22" t="n">
        <f aca="false">MAX(0,-C26)</f>
        <v>2312.56</v>
      </c>
      <c r="E26" s="37" t="n">
        <f aca="false">IF($D$3=0,0,D26/$D$3)</f>
        <v>0.0117685501507124</v>
      </c>
    </row>
    <row r="27" customFormat="false" ht="15" hidden="false" customHeight="false" outlineLevel="0" collapsed="false">
      <c r="A27" s="35" t="n">
        <v>21</v>
      </c>
      <c r="B27" s="36" t="s">
        <v>89</v>
      </c>
      <c r="C27" s="22" t="n">
        <v>-2226.85</v>
      </c>
      <c r="D27" s="22" t="n">
        <f aca="false">MAX(0,-C27)</f>
        <v>2226.85</v>
      </c>
      <c r="E27" s="37" t="n">
        <f aca="false">IF($D$3=0,0,D27/$D$3)</f>
        <v>0.0113323744694684</v>
      </c>
    </row>
    <row r="28" customFormat="false" ht="15" hidden="false" customHeight="false" outlineLevel="0" collapsed="false">
      <c r="A28" s="35" t="n">
        <v>22</v>
      </c>
      <c r="B28" s="36" t="s">
        <v>74</v>
      </c>
      <c r="C28" s="22" t="n">
        <v>-2220.36</v>
      </c>
      <c r="D28" s="22" t="n">
        <f aca="false">MAX(0,-C28)</f>
        <v>2220.36</v>
      </c>
      <c r="E28" s="37" t="n">
        <f aca="false">IF($D$3=0,0,D28/$D$3)</f>
        <v>0.0112993470494326</v>
      </c>
    </row>
    <row r="29" customFormat="false" ht="15" hidden="false" customHeight="false" outlineLevel="0" collapsed="false">
      <c r="A29" s="35" t="n">
        <v>23</v>
      </c>
      <c r="B29" s="36" t="s">
        <v>230</v>
      </c>
      <c r="C29" s="22" t="n">
        <v>-2044.76</v>
      </c>
      <c r="D29" s="22" t="n">
        <f aca="false">MAX(0,-C29)</f>
        <v>2044.76</v>
      </c>
      <c r="E29" s="37" t="n">
        <f aca="false">IF($D$3=0,0,D29/$D$3)</f>
        <v>0.0104057237892944</v>
      </c>
    </row>
    <row r="30" customFormat="false" ht="15" hidden="false" customHeight="false" outlineLevel="0" collapsed="false">
      <c r="A30" s="35" t="n">
        <v>24</v>
      </c>
      <c r="B30" s="36" t="s">
        <v>233</v>
      </c>
      <c r="C30" s="22" t="n">
        <v>-1985.4</v>
      </c>
      <c r="D30" s="22" t="n">
        <f aca="false">MAX(0,-C30)</f>
        <v>1985.4</v>
      </c>
      <c r="E30" s="37" t="n">
        <f aca="false">IF($D$3=0,0,D30/$D$3)</f>
        <v>0.0101036424867785</v>
      </c>
    </row>
    <row r="31" customFormat="false" ht="15" hidden="false" customHeight="false" outlineLevel="0" collapsed="false">
      <c r="A31" s="35" t="n">
        <v>25</v>
      </c>
      <c r="B31" s="36" t="s">
        <v>234</v>
      </c>
      <c r="C31" s="22" t="n">
        <v>-1786.18</v>
      </c>
      <c r="D31" s="22" t="n">
        <f aca="false">MAX(0,-C31)</f>
        <v>1786.18</v>
      </c>
      <c r="E31" s="37" t="n">
        <f aca="false">IF($D$3=0,0,D31/$D$3)</f>
        <v>0.00908981773800442</v>
      </c>
    </row>
    <row r="32" customFormat="false" ht="15" hidden="false" customHeight="false" outlineLevel="0" collapsed="false">
      <c r="A32" s="35" t="n">
        <v>26</v>
      </c>
      <c r="B32" s="36" t="s">
        <v>144</v>
      </c>
      <c r="C32" s="22" t="n">
        <v>-1601.08</v>
      </c>
      <c r="D32" s="22" t="n">
        <f aca="false">MAX(0,-C32)</f>
        <v>1601.08</v>
      </c>
      <c r="E32" s="37" t="n">
        <f aca="false">IF($D$3=0,0,D32/$D$3)</f>
        <v>0.00814784925593396</v>
      </c>
    </row>
    <row r="33" customFormat="false" ht="15" hidden="false" customHeight="false" outlineLevel="0" collapsed="false">
      <c r="A33" s="35" t="n">
        <v>27</v>
      </c>
      <c r="B33" s="36" t="s">
        <v>119</v>
      </c>
      <c r="C33" s="22" t="n">
        <v>-1540.93</v>
      </c>
      <c r="D33" s="22" t="n">
        <f aca="false">MAX(0,-C33)</f>
        <v>1540.93</v>
      </c>
      <c r="E33" s="37" t="n">
        <f aca="false">IF($D$3=0,0,D33/$D$3)</f>
        <v>0.00784174766654153</v>
      </c>
    </row>
    <row r="34" customFormat="false" ht="15" hidden="false" customHeight="false" outlineLevel="0" collapsed="false">
      <c r="A34" s="35" t="n">
        <v>28</v>
      </c>
      <c r="B34" s="36" t="s">
        <v>96</v>
      </c>
      <c r="C34" s="22" t="n">
        <v>-1359.87</v>
      </c>
      <c r="D34" s="22" t="n">
        <f aca="false">MAX(0,-C34)</f>
        <v>1359.87</v>
      </c>
      <c r="E34" s="37" t="n">
        <f aca="false">IF($D$3=0,0,D34/$D$3)</f>
        <v>0.00692033862621912</v>
      </c>
    </row>
    <row r="35" customFormat="false" ht="15" hidden="false" customHeight="false" outlineLevel="0" collapsed="false">
      <c r="A35" s="35" t="n">
        <v>29</v>
      </c>
      <c r="B35" s="36" t="s">
        <v>123</v>
      </c>
      <c r="C35" s="22" t="n">
        <v>-1167.7</v>
      </c>
      <c r="D35" s="22" t="n">
        <f aca="false">MAX(0,-C35)</f>
        <v>1167.7</v>
      </c>
      <c r="E35" s="37" t="n">
        <f aca="false">IF($D$3=0,0,D35/$D$3)</f>
        <v>0.00594239112108957</v>
      </c>
    </row>
    <row r="36" customFormat="false" ht="15" hidden="false" customHeight="false" outlineLevel="0" collapsed="false">
      <c r="A36" s="35" t="n">
        <v>30</v>
      </c>
      <c r="B36" s="36" t="s">
        <v>103</v>
      </c>
      <c r="C36" s="22" t="n">
        <v>-1054.46</v>
      </c>
      <c r="D36" s="22" t="n">
        <f aca="false">MAX(0,-C36)</f>
        <v>1054.46</v>
      </c>
      <c r="E36" s="37" t="n">
        <f aca="false">IF($D$3=0,0,D36/$D$3)</f>
        <v>0.00536611607565651</v>
      </c>
    </row>
    <row r="37" customFormat="false" ht="15" hidden="false" customHeight="false" outlineLevel="0" collapsed="false">
      <c r="A37" s="35" t="n">
        <v>31</v>
      </c>
      <c r="B37" s="36" t="s">
        <v>221</v>
      </c>
      <c r="C37" s="22" t="n">
        <v>-976.97</v>
      </c>
      <c r="D37" s="22" t="n">
        <f aca="false">MAX(0,-C37)</f>
        <v>976.97</v>
      </c>
      <c r="E37" s="37" t="n">
        <f aca="false">IF($D$3=0,0,D37/$D$3)</f>
        <v>0.0049717717338108</v>
      </c>
    </row>
    <row r="38" customFormat="false" ht="15" hidden="false" customHeight="false" outlineLevel="0" collapsed="false">
      <c r="A38" s="35" t="n">
        <v>32</v>
      </c>
      <c r="B38" s="36" t="s">
        <v>149</v>
      </c>
      <c r="C38" s="22" t="n">
        <v>-966</v>
      </c>
      <c r="D38" s="22" t="n">
        <f aca="false">MAX(0,-C38)</f>
        <v>966</v>
      </c>
      <c r="E38" s="37" t="n">
        <f aca="false">IF($D$3=0,0,D38/$D$3)</f>
        <v>0.00491594572490582</v>
      </c>
    </row>
    <row r="39" customFormat="false" ht="15" hidden="false" customHeight="false" outlineLevel="0" collapsed="false">
      <c r="A39" s="35" t="n">
        <v>33</v>
      </c>
      <c r="B39" s="36" t="s">
        <v>140</v>
      </c>
      <c r="C39" s="22" t="n">
        <v>-943.33</v>
      </c>
      <c r="D39" s="22" t="n">
        <f aca="false">MAX(0,-C39)</f>
        <v>943.33</v>
      </c>
      <c r="E39" s="37" t="n">
        <f aca="false">IF($D$3=0,0,D39/$D$3)</f>
        <v>0.00480057875846315</v>
      </c>
    </row>
    <row r="40" customFormat="false" ht="15" hidden="false" customHeight="false" outlineLevel="0" collapsed="false">
      <c r="A40" s="35" t="n">
        <v>34</v>
      </c>
      <c r="B40" s="36" t="s">
        <v>76</v>
      </c>
      <c r="C40" s="22" t="n">
        <v>-897.07</v>
      </c>
      <c r="D40" s="22" t="n">
        <f aca="false">MAX(0,-C40)</f>
        <v>897.07</v>
      </c>
      <c r="E40" s="37" t="n">
        <f aca="false">IF($D$3=0,0,D40/$D$3)</f>
        <v>0.00456516297250648</v>
      </c>
    </row>
    <row r="41" customFormat="false" ht="15" hidden="false" customHeight="false" outlineLevel="0" collapsed="false">
      <c r="A41" s="35" t="n">
        <v>35</v>
      </c>
      <c r="B41" s="36" t="s">
        <v>150</v>
      </c>
      <c r="C41" s="22" t="n">
        <v>-686.61</v>
      </c>
      <c r="D41" s="22" t="n">
        <f aca="false">MAX(0,-C41)</f>
        <v>686.61</v>
      </c>
      <c r="E41" s="37" t="n">
        <f aca="false">IF($D$3=0,0,D41/$D$3)</f>
        <v>0.00349413819273042</v>
      </c>
    </row>
    <row r="42" customFormat="false" ht="15" hidden="false" customHeight="false" outlineLevel="0" collapsed="false">
      <c r="A42" s="35" t="n">
        <v>36</v>
      </c>
      <c r="B42" s="36" t="s">
        <v>118</v>
      </c>
      <c r="C42" s="22" t="n">
        <v>-664.63</v>
      </c>
      <c r="D42" s="22" t="n">
        <f aca="false">MAX(0,-C42)</f>
        <v>664.63</v>
      </c>
      <c r="E42" s="37" t="n">
        <f aca="false">IF($D$3=0,0,D42/$D$3)</f>
        <v>0.00338228261609125</v>
      </c>
    </row>
    <row r="43" customFormat="false" ht="15" hidden="false" customHeight="false" outlineLevel="0" collapsed="false">
      <c r="A43" s="35" t="n">
        <v>37</v>
      </c>
      <c r="B43" s="36" t="s">
        <v>199</v>
      </c>
      <c r="C43" s="22" t="n">
        <v>-453.71</v>
      </c>
      <c r="D43" s="22" t="n">
        <f aca="false">MAX(0,-C43)</f>
        <v>453.71</v>
      </c>
      <c r="E43" s="37" t="n">
        <f aca="false">IF($D$3=0,0,D43/$D$3)</f>
        <v>0.00230891690977952</v>
      </c>
    </row>
    <row r="44" customFormat="false" ht="15" hidden="false" customHeight="false" outlineLevel="0" collapsed="false">
      <c r="A44" s="35" t="n">
        <v>38</v>
      </c>
      <c r="B44" s="36" t="s">
        <v>177</v>
      </c>
      <c r="C44" s="22" t="n">
        <v>-358.76</v>
      </c>
      <c r="D44" s="22" t="n">
        <f aca="false">MAX(0,-C44)</f>
        <v>358.76</v>
      </c>
      <c r="E44" s="37" t="n">
        <f aca="false">IF($D$3=0,0,D44/$D$3)</f>
        <v>0.00182571913899297</v>
      </c>
    </row>
    <row r="45" customFormat="false" ht="15" hidden="false" customHeight="false" outlineLevel="0" collapsed="false">
      <c r="A45" s="35" t="n">
        <v>39</v>
      </c>
      <c r="B45" s="36" t="s">
        <v>197</v>
      </c>
      <c r="C45" s="22" t="n">
        <v>-357.51</v>
      </c>
      <c r="D45" s="22" t="n">
        <f aca="false">MAX(0,-C45)</f>
        <v>357.51</v>
      </c>
      <c r="E45" s="37" t="n">
        <f aca="false">IF($D$3=0,0,D45/$D$3)</f>
        <v>0.00181935792558083</v>
      </c>
    </row>
    <row r="46" customFormat="false" ht="15" hidden="false" customHeight="false" outlineLevel="0" collapsed="false">
      <c r="A46" s="35" t="n">
        <v>40</v>
      </c>
      <c r="B46" s="36" t="s">
        <v>82</v>
      </c>
      <c r="C46" s="22" t="n">
        <v>-309.2</v>
      </c>
      <c r="D46" s="22" t="n">
        <f aca="false">MAX(0,-C46)</f>
        <v>309.2</v>
      </c>
      <c r="E46" s="37" t="n">
        <f aca="false">IF($D$3=0,0,D46/$D$3)</f>
        <v>0.00157350974962824</v>
      </c>
    </row>
    <row r="47" customFormat="false" ht="15" hidden="false" customHeight="false" outlineLevel="0" collapsed="false">
      <c r="A47" s="35" t="n">
        <v>41</v>
      </c>
      <c r="B47" s="36" t="s">
        <v>168</v>
      </c>
      <c r="C47" s="22" t="n">
        <v>-263.16</v>
      </c>
      <c r="D47" s="22" t="n">
        <f aca="false">MAX(0,-C47)</f>
        <v>263.16</v>
      </c>
      <c r="E47" s="37" t="n">
        <f aca="false">IF($D$3=0,0,D47/$D$3)</f>
        <v>0.00133921353723211</v>
      </c>
    </row>
    <row r="48" customFormat="false" ht="15" hidden="false" customHeight="false" outlineLevel="0" collapsed="false">
      <c r="A48" s="35" t="n">
        <v>42</v>
      </c>
      <c r="B48" s="36" t="s">
        <v>213</v>
      </c>
      <c r="C48" s="22" t="n">
        <v>-241.49</v>
      </c>
      <c r="D48" s="22" t="n">
        <f aca="false">MAX(0,-C48)</f>
        <v>241.49</v>
      </c>
      <c r="E48" s="37" t="n">
        <f aca="false">IF($D$3=0,0,D48/$D$3)</f>
        <v>0.00122893554151916</v>
      </c>
    </row>
    <row r="49" customFormat="false" ht="15" hidden="false" customHeight="false" outlineLevel="0" collapsed="false">
      <c r="A49" s="35" t="n">
        <v>43</v>
      </c>
      <c r="B49" s="36" t="s">
        <v>209</v>
      </c>
      <c r="C49" s="22" t="n">
        <v>-229</v>
      </c>
      <c r="D49" s="22" t="n">
        <f aca="false">MAX(0,-C49)</f>
        <v>229</v>
      </c>
      <c r="E49" s="37" t="n">
        <f aca="false">IF($D$3=0,0,D49/$D$3)</f>
        <v>0.001165374297105</v>
      </c>
    </row>
    <row r="50" customFormat="false" ht="15" hidden="false" customHeight="false" outlineLevel="0" collapsed="false">
      <c r="A50" s="35" t="n">
        <v>44</v>
      </c>
      <c r="B50" s="36" t="s">
        <v>99</v>
      </c>
      <c r="C50" s="22" t="n">
        <v>-192.24</v>
      </c>
      <c r="D50" s="22" t="n">
        <f aca="false">MAX(0,-C50)</f>
        <v>192.24</v>
      </c>
      <c r="E50" s="37" t="n">
        <f aca="false">IF($D$3=0,0,D50/$D$3)</f>
        <v>0.000978303733080636</v>
      </c>
    </row>
    <row r="51" customFormat="false" ht="15" hidden="false" customHeight="false" outlineLevel="0" collapsed="false">
      <c r="A51" s="35" t="n">
        <v>45</v>
      </c>
      <c r="B51" s="36" t="s">
        <v>208</v>
      </c>
      <c r="C51" s="22" t="n">
        <v>-191.28</v>
      </c>
      <c r="D51" s="22" t="n">
        <f aca="false">MAX(0,-C51)</f>
        <v>191.28</v>
      </c>
      <c r="E51" s="37" t="n">
        <f aca="false">IF($D$3=0,0,D51/$D$3)</f>
        <v>0.000973418321180108</v>
      </c>
    </row>
    <row r="52" customFormat="false" ht="15" hidden="false" customHeight="false" outlineLevel="0" collapsed="false">
      <c r="A52" s="35" t="n">
        <v>46</v>
      </c>
      <c r="B52" s="36" t="s">
        <v>185</v>
      </c>
      <c r="C52" s="22" t="n">
        <v>-189.32</v>
      </c>
      <c r="D52" s="22" t="n">
        <f aca="false">MAX(0,-C52)</f>
        <v>189.32</v>
      </c>
      <c r="E52" s="37" t="n">
        <f aca="false">IF($D$3=0,0,D52/$D$3)</f>
        <v>0.000963443938549864</v>
      </c>
    </row>
    <row r="53" customFormat="false" ht="15" hidden="false" customHeight="false" outlineLevel="0" collapsed="false">
      <c r="A53" s="35" t="n">
        <v>47</v>
      </c>
      <c r="B53" s="36" t="s">
        <v>61</v>
      </c>
      <c r="C53" s="22" t="n">
        <v>-173.82</v>
      </c>
      <c r="D53" s="22" t="n">
        <f aca="false">MAX(0,-C53)</f>
        <v>173.82</v>
      </c>
      <c r="E53" s="37" t="n">
        <f aca="false">IF($D$3=0,0,D53/$D$3)</f>
        <v>0.000884564892239264</v>
      </c>
    </row>
    <row r="54" customFormat="false" ht="15" hidden="false" customHeight="false" outlineLevel="0" collapsed="false">
      <c r="A54" s="35" t="n">
        <v>48</v>
      </c>
      <c r="B54" s="36" t="s">
        <v>121</v>
      </c>
      <c r="C54" s="22" t="n">
        <v>-171.77</v>
      </c>
      <c r="D54" s="22" t="n">
        <f aca="false">MAX(0,-C54)</f>
        <v>171.77</v>
      </c>
      <c r="E54" s="37" t="n">
        <f aca="false">IF($D$3=0,0,D54/$D$3)</f>
        <v>0.000874132502243346</v>
      </c>
    </row>
    <row r="55" customFormat="false" ht="15" hidden="false" customHeight="false" outlineLevel="0" collapsed="false">
      <c r="A55" s="35" t="n">
        <v>49</v>
      </c>
      <c r="B55" s="36" t="s">
        <v>176</v>
      </c>
      <c r="C55" s="22" t="n">
        <v>-170.14</v>
      </c>
      <c r="D55" s="22" t="n">
        <f aca="false">MAX(0,-C55)</f>
        <v>170.14</v>
      </c>
      <c r="E55" s="37" t="n">
        <f aca="false">IF($D$3=0,0,D55/$D$3)</f>
        <v>0.000865837479953908</v>
      </c>
    </row>
    <row r="56" customFormat="false" ht="15" hidden="false" customHeight="false" outlineLevel="0" collapsed="false">
      <c r="A56" s="35" t="n">
        <v>50</v>
      </c>
      <c r="B56" s="36" t="s">
        <v>174</v>
      </c>
      <c r="C56" s="22" t="n">
        <v>-166.02</v>
      </c>
      <c r="D56" s="22" t="n">
        <f aca="false">MAX(0,-C56)</f>
        <v>166.02</v>
      </c>
      <c r="E56" s="37" t="n">
        <f aca="false">IF($D$3=0,0,D56/$D$3)</f>
        <v>0.000844870920547478</v>
      </c>
    </row>
    <row r="57" customFormat="false" ht="15" hidden="false" customHeight="false" outlineLevel="0" collapsed="false">
      <c r="A57" s="35" t="n">
        <v>51</v>
      </c>
      <c r="B57" s="36" t="s">
        <v>100</v>
      </c>
      <c r="C57" s="22" t="n">
        <v>-137.53</v>
      </c>
      <c r="D57" s="22" t="n">
        <f aca="false">MAX(0,-C57)</f>
        <v>137.53</v>
      </c>
      <c r="E57" s="37" t="n">
        <f aca="false">IF($D$3=0,0,D57/$D$3)</f>
        <v>0.000699886144457864</v>
      </c>
    </row>
    <row r="58" customFormat="false" ht="15" hidden="false" customHeight="false" outlineLevel="0" collapsed="false">
      <c r="A58" s="35" t="n">
        <v>52</v>
      </c>
      <c r="B58" s="36" t="s">
        <v>111</v>
      </c>
      <c r="C58" s="22" t="n">
        <v>-135.33</v>
      </c>
      <c r="D58" s="22" t="n">
        <f aca="false">MAX(0,-C58)</f>
        <v>135.33</v>
      </c>
      <c r="E58" s="37" t="n">
        <f aca="false">IF($D$3=0,0,D58/$D$3)</f>
        <v>0.000688690408852489</v>
      </c>
    </row>
    <row r="59" customFormat="false" ht="15" hidden="false" customHeight="false" outlineLevel="0" collapsed="false">
      <c r="A59" s="35" t="n">
        <v>53</v>
      </c>
      <c r="B59" s="36" t="s">
        <v>110</v>
      </c>
      <c r="C59" s="22" t="n">
        <v>-132.85</v>
      </c>
      <c r="D59" s="22" t="n">
        <f aca="false">MAX(0,-C59)</f>
        <v>132.85</v>
      </c>
      <c r="E59" s="37" t="n">
        <f aca="false">IF($D$3=0,0,D59/$D$3)</f>
        <v>0.000676069761442793</v>
      </c>
    </row>
    <row r="60" customFormat="false" ht="15" hidden="false" customHeight="false" outlineLevel="0" collapsed="false">
      <c r="A60" s="35" t="n">
        <v>54</v>
      </c>
      <c r="B60" s="36" t="s">
        <v>129</v>
      </c>
      <c r="C60" s="22" t="n">
        <v>-111.86</v>
      </c>
      <c r="D60" s="22" t="n">
        <f aca="false">MAX(0,-C60)</f>
        <v>111.86</v>
      </c>
      <c r="E60" s="37" t="n">
        <f aca="false">IF($D$3=0,0,D60/$D$3)</f>
        <v>0.00056925226582605</v>
      </c>
    </row>
    <row r="61" customFormat="false" ht="15" hidden="false" customHeight="false" outlineLevel="0" collapsed="false">
      <c r="A61" s="35" t="n">
        <v>55</v>
      </c>
      <c r="B61" s="36" t="s">
        <v>207</v>
      </c>
      <c r="C61" s="22" t="n">
        <v>-100.56</v>
      </c>
      <c r="D61" s="22" t="n">
        <f aca="false">MAX(0,-C61)</f>
        <v>100.56</v>
      </c>
      <c r="E61" s="37" t="n">
        <f aca="false">IF($D$3=0,0,D61/$D$3)</f>
        <v>0.000511746896580258</v>
      </c>
    </row>
    <row r="62" customFormat="false" ht="15" hidden="false" customHeight="false" outlineLevel="0" collapsed="false">
      <c r="A62" s="35" t="n">
        <v>56</v>
      </c>
      <c r="B62" s="36" t="s">
        <v>120</v>
      </c>
      <c r="C62" s="22" t="n">
        <v>-99.05</v>
      </c>
      <c r="D62" s="22" t="n">
        <f aca="false">MAX(0,-C62)</f>
        <v>99.05</v>
      </c>
      <c r="E62" s="37" t="n">
        <f aca="false">IF($D$3=0,0,D62/$D$3)</f>
        <v>0.000504062550778386</v>
      </c>
    </row>
    <row r="63" customFormat="false" ht="15" hidden="false" customHeight="false" outlineLevel="0" collapsed="false">
      <c r="A63" s="35" t="n">
        <v>57</v>
      </c>
      <c r="B63" s="36" t="s">
        <v>108</v>
      </c>
      <c r="C63" s="22" t="n">
        <v>-89.13</v>
      </c>
      <c r="D63" s="22" t="n">
        <f aca="false">MAX(0,-C63)</f>
        <v>89.13</v>
      </c>
      <c r="E63" s="37" t="n">
        <f aca="false">IF($D$3=0,0,D63/$D$3)</f>
        <v>0.000453579961139602</v>
      </c>
    </row>
    <row r="64" customFormat="false" ht="15" hidden="false" customHeight="false" outlineLevel="0" collapsed="false">
      <c r="A64" s="35" t="n">
        <v>58</v>
      </c>
      <c r="B64" s="36" t="s">
        <v>159</v>
      </c>
      <c r="C64" s="22" t="n">
        <v>-85.57</v>
      </c>
      <c r="D64" s="22" t="n">
        <f aca="false">MAX(0,-C64)</f>
        <v>85.57</v>
      </c>
      <c r="E64" s="37" t="n">
        <f aca="false">IF($D$3=0,0,D64/$D$3)</f>
        <v>0.000435463225341812</v>
      </c>
    </row>
    <row r="65" customFormat="false" ht="15" hidden="false" customHeight="false" outlineLevel="0" collapsed="false">
      <c r="A65" s="35" t="n">
        <v>59</v>
      </c>
      <c r="B65" s="36" t="s">
        <v>172</v>
      </c>
      <c r="C65" s="22" t="n">
        <v>-84.97</v>
      </c>
      <c r="D65" s="22" t="n">
        <f aca="false">MAX(0,-C65)</f>
        <v>84.97</v>
      </c>
      <c r="E65" s="37" t="n">
        <f aca="false">IF($D$3=0,0,D65/$D$3)</f>
        <v>0.000432409842903983</v>
      </c>
    </row>
    <row r="66" customFormat="false" ht="15" hidden="false" customHeight="false" outlineLevel="0" collapsed="false">
      <c r="A66" s="35" t="n">
        <v>60</v>
      </c>
      <c r="B66" s="36" t="s">
        <v>229</v>
      </c>
      <c r="C66" s="22" t="n">
        <v>-54.84</v>
      </c>
      <c r="D66" s="22" t="n">
        <f aca="false">MAX(0,-C66)</f>
        <v>54.84</v>
      </c>
      <c r="E66" s="37" t="n">
        <f aca="false">IF($D$3=0,0,D66/$D$3)</f>
        <v>0.000279079154817634</v>
      </c>
    </row>
    <row r="67" customFormat="false" ht="15" hidden="false" customHeight="false" outlineLevel="0" collapsed="false">
      <c r="A67" s="35" t="n">
        <v>61</v>
      </c>
      <c r="B67" s="36" t="s">
        <v>215</v>
      </c>
      <c r="C67" s="22" t="n">
        <v>-50.08</v>
      </c>
      <c r="D67" s="22" t="n">
        <f aca="false">MAX(0,-C67)</f>
        <v>50.08</v>
      </c>
      <c r="E67" s="37" t="n">
        <f aca="false">IF($D$3=0,0,D67/$D$3)</f>
        <v>0.000254855654144186</v>
      </c>
    </row>
    <row r="68" customFormat="false" ht="15" hidden="false" customHeight="false" outlineLevel="0" collapsed="false">
      <c r="A68" s="35" t="n">
        <v>62</v>
      </c>
      <c r="B68" s="36" t="s">
        <v>57</v>
      </c>
      <c r="C68" s="22" t="n">
        <v>-44.93</v>
      </c>
      <c r="D68" s="22" t="n">
        <f aca="false">MAX(0,-C68)</f>
        <v>44.93</v>
      </c>
      <c r="E68" s="37" t="n">
        <f aca="false">IF($D$3=0,0,D68/$D$3)</f>
        <v>0.000228647454886147</v>
      </c>
    </row>
    <row r="69" customFormat="false" ht="15" hidden="false" customHeight="false" outlineLevel="0" collapsed="false">
      <c r="A69" s="35" t="n">
        <v>63</v>
      </c>
      <c r="B69" s="36" t="s">
        <v>102</v>
      </c>
      <c r="C69" s="22" t="n">
        <v>-34.5</v>
      </c>
      <c r="D69" s="22" t="n">
        <f aca="false">MAX(0,-C69)</f>
        <v>34.5</v>
      </c>
      <c r="E69" s="37" t="n">
        <f aca="false">IF($D$3=0,0,D69/$D$3)</f>
        <v>0.000175569490175208</v>
      </c>
    </row>
    <row r="70" customFormat="false" ht="15" hidden="false" customHeight="false" outlineLevel="0" collapsed="false">
      <c r="A70" s="35" t="n">
        <v>64</v>
      </c>
      <c r="B70" s="36" t="s">
        <v>137</v>
      </c>
      <c r="C70" s="22" t="n">
        <v>-31.34</v>
      </c>
      <c r="D70" s="22" t="n">
        <f aca="false">MAX(0,-C70)</f>
        <v>31.34</v>
      </c>
      <c r="E70" s="37" t="n">
        <f aca="false">IF($D$3=0,0,D70/$D$3)</f>
        <v>0.000159488342669305</v>
      </c>
    </row>
    <row r="71" customFormat="false" ht="15" hidden="false" customHeight="false" outlineLevel="0" collapsed="false">
      <c r="A71" s="35" t="n">
        <v>65</v>
      </c>
      <c r="B71" s="36" t="s">
        <v>214</v>
      </c>
      <c r="C71" s="22" t="n">
        <v>-30.54</v>
      </c>
      <c r="D71" s="22" t="n">
        <f aca="false">MAX(0,-C71)</f>
        <v>30.54</v>
      </c>
      <c r="E71" s="37" t="n">
        <f aca="false">IF($D$3=0,0,D71/$D$3)</f>
        <v>0.000155417166085532</v>
      </c>
    </row>
    <row r="72" customFormat="false" ht="15" hidden="false" customHeight="false" outlineLevel="0" collapsed="false">
      <c r="A72" s="35" t="n">
        <v>66</v>
      </c>
      <c r="B72" s="36" t="s">
        <v>98</v>
      </c>
      <c r="C72" s="22" t="n">
        <v>-22.64</v>
      </c>
      <c r="D72" s="22" t="n">
        <f aca="false">MAX(0,-C72)</f>
        <v>22.64</v>
      </c>
      <c r="E72" s="37" t="n">
        <f aca="false">IF($D$3=0,0,D72/$D$3)</f>
        <v>0.000115214297320774</v>
      </c>
    </row>
    <row r="73" customFormat="false" ht="15" hidden="false" customHeight="false" outlineLevel="0" collapsed="false">
      <c r="A73" s="35" t="n">
        <v>67</v>
      </c>
      <c r="B73" s="36" t="s">
        <v>68</v>
      </c>
      <c r="C73" s="22" t="n">
        <v>-17</v>
      </c>
      <c r="D73" s="22" t="n">
        <f aca="false">MAX(0,-C73)</f>
        <v>17</v>
      </c>
      <c r="E73" s="37" t="n">
        <f aca="false">IF($D$3=0,0,D73/$D$3)</f>
        <v>8.65125024051748E-005</v>
      </c>
    </row>
    <row r="74" customFormat="false" ht="15" hidden="false" customHeight="false" outlineLevel="0" collapsed="false">
      <c r="A74" s="35" t="n">
        <v>68</v>
      </c>
      <c r="B74" s="36" t="s">
        <v>203</v>
      </c>
      <c r="C74" s="22" t="n">
        <v>-16.94</v>
      </c>
      <c r="D74" s="22" t="n">
        <f aca="false">MAX(0,-C74)</f>
        <v>16.94</v>
      </c>
      <c r="E74" s="37" t="n">
        <f aca="false">IF($D$3=0,0,D74/$D$3)</f>
        <v>8.62071641613918E-005</v>
      </c>
    </row>
    <row r="75" customFormat="false" ht="15" hidden="false" customHeight="false" outlineLevel="0" collapsed="false">
      <c r="A75" s="35" t="n">
        <v>69</v>
      </c>
      <c r="B75" s="36" t="s">
        <v>47</v>
      </c>
      <c r="C75" s="22" t="n">
        <v>-15.51</v>
      </c>
      <c r="D75" s="22" t="n">
        <f aca="false">MAX(0,-C75)</f>
        <v>15.51</v>
      </c>
      <c r="E75" s="37" t="n">
        <f aca="false">IF($D$3=0,0,D75/$D$3)</f>
        <v>7.89299360178977E-005</v>
      </c>
    </row>
    <row r="76" customFormat="false" ht="15" hidden="false" customHeight="false" outlineLevel="0" collapsed="false">
      <c r="A76" s="35" t="n">
        <v>70</v>
      </c>
      <c r="B76" s="36" t="s">
        <v>122</v>
      </c>
      <c r="C76" s="22" t="n">
        <v>-14.9</v>
      </c>
      <c r="D76" s="22" t="n">
        <f aca="false">MAX(0,-C76)</f>
        <v>14.9</v>
      </c>
      <c r="E76" s="37" t="n">
        <f aca="false">IF($D$3=0,0,D76/$D$3)</f>
        <v>7.58256638727709E-005</v>
      </c>
    </row>
    <row r="77" customFormat="false" ht="15" hidden="false" customHeight="false" outlineLevel="0" collapsed="false">
      <c r="A77" s="35" t="n">
        <v>71</v>
      </c>
      <c r="B77" s="36" t="s">
        <v>163</v>
      </c>
      <c r="C77" s="22" t="n">
        <v>-14.83</v>
      </c>
      <c r="D77" s="22" t="n">
        <f aca="false">MAX(0,-C77)</f>
        <v>14.83</v>
      </c>
      <c r="E77" s="37" t="n">
        <f aca="false">IF($D$3=0,0,D77/$D$3)</f>
        <v>7.54694359216907E-005</v>
      </c>
    </row>
    <row r="78" customFormat="false" ht="15" hidden="false" customHeight="false" outlineLevel="0" collapsed="false">
      <c r="A78" s="35" t="n">
        <v>72</v>
      </c>
      <c r="B78" s="36" t="s">
        <v>194</v>
      </c>
      <c r="C78" s="22" t="n">
        <v>-11.05</v>
      </c>
      <c r="D78" s="22" t="n">
        <f aca="false">MAX(0,-C78)</f>
        <v>11.05</v>
      </c>
      <c r="E78" s="37" t="n">
        <f aca="false">IF($D$3=0,0,D78/$D$3)</f>
        <v>5.62331265633636E-005</v>
      </c>
    </row>
    <row r="79" customFormat="false" ht="15" hidden="false" customHeight="false" outlineLevel="0" collapsed="false">
      <c r="A79" s="35" t="n">
        <v>73</v>
      </c>
      <c r="B79" s="36" t="s">
        <v>217</v>
      </c>
      <c r="C79" s="22" t="n">
        <v>-9.75</v>
      </c>
      <c r="D79" s="22" t="n">
        <f aca="false">MAX(0,-C79)</f>
        <v>9.75</v>
      </c>
      <c r="E79" s="37" t="n">
        <f aca="false">IF($D$3=0,0,D79/$D$3)</f>
        <v>4.96174646147326E-005</v>
      </c>
    </row>
    <row r="80" customFormat="false" ht="15" hidden="false" customHeight="false" outlineLevel="0" collapsed="false">
      <c r="A80" s="35" t="n">
        <v>74</v>
      </c>
      <c r="B80" s="36" t="s">
        <v>81</v>
      </c>
      <c r="C80" s="22" t="n">
        <v>-9.61</v>
      </c>
      <c r="D80" s="22" t="n">
        <f aca="false">MAX(0,-C80)</f>
        <v>9.61</v>
      </c>
      <c r="E80" s="37" t="n">
        <f aca="false">IF($D$3=0,0,D80/$D$3)</f>
        <v>4.89050087125723E-005</v>
      </c>
    </row>
    <row r="81" customFormat="false" ht="15" hidden="false" customHeight="false" outlineLevel="0" collapsed="false">
      <c r="A81" s="35" t="n">
        <v>75</v>
      </c>
      <c r="B81" s="36" t="s">
        <v>145</v>
      </c>
      <c r="C81" s="22" t="n">
        <v>-7.67</v>
      </c>
      <c r="D81" s="22" t="n">
        <f aca="false">MAX(0,-C81)</f>
        <v>7.67</v>
      </c>
      <c r="E81" s="37" t="n">
        <f aca="false">IF($D$3=0,0,D81/$D$3)</f>
        <v>3.9032405496923E-005</v>
      </c>
    </row>
    <row r="82" customFormat="false" ht="15" hidden="false" customHeight="false" outlineLevel="0" collapsed="false">
      <c r="A82" s="35" t="n">
        <v>76</v>
      </c>
      <c r="B82" s="36" t="s">
        <v>131</v>
      </c>
      <c r="C82" s="22" t="n">
        <v>-7</v>
      </c>
      <c r="D82" s="22" t="n">
        <f aca="false">MAX(0,-C82)</f>
        <v>7</v>
      </c>
      <c r="E82" s="37" t="n">
        <f aca="false">IF($D$3=0,0,D82/$D$3)</f>
        <v>3.56227951080132E-005</v>
      </c>
    </row>
    <row r="83" customFormat="false" ht="15" hidden="false" customHeight="false" outlineLevel="0" collapsed="false">
      <c r="A83" s="35" t="n">
        <v>77</v>
      </c>
      <c r="B83" s="36" t="s">
        <v>198</v>
      </c>
      <c r="C83" s="22" t="n">
        <v>-5</v>
      </c>
      <c r="D83" s="22" t="n">
        <f aca="false">MAX(0,-C83)</f>
        <v>5</v>
      </c>
      <c r="E83" s="37" t="n">
        <f aca="false">IF($D$3=0,0,D83/$D$3)</f>
        <v>2.54448536485808E-005</v>
      </c>
    </row>
    <row r="84" customFormat="false" ht="15" hidden="false" customHeight="false" outlineLevel="0" collapsed="false">
      <c r="A84" s="35" t="n">
        <v>78</v>
      </c>
      <c r="B84" s="36" t="s">
        <v>160</v>
      </c>
      <c r="C84" s="22" t="n">
        <v>-3.96</v>
      </c>
      <c r="D84" s="22" t="n">
        <f aca="false">MAX(0,-C84)</f>
        <v>3.96</v>
      </c>
      <c r="E84" s="37" t="n">
        <f aca="false">IF($D$3=0,0,D84/$D$3)</f>
        <v>2.0152324089676E-005</v>
      </c>
    </row>
    <row r="85" customFormat="false" ht="15" hidden="false" customHeight="false" outlineLevel="0" collapsed="false">
      <c r="A85" s="35" t="n">
        <v>79</v>
      </c>
      <c r="B85" s="36" t="s">
        <v>156</v>
      </c>
      <c r="C85" s="22" t="n">
        <v>-3.64</v>
      </c>
      <c r="D85" s="22" t="n">
        <f aca="false">MAX(0,-C85)</f>
        <v>3.64</v>
      </c>
      <c r="E85" s="37" t="n">
        <f aca="false">IF($D$3=0,0,D85/$D$3)</f>
        <v>1.85238534561668E-005</v>
      </c>
    </row>
    <row r="86" customFormat="false" ht="15" hidden="false" customHeight="false" outlineLevel="0" collapsed="false">
      <c r="A86" s="35" t="n">
        <v>80</v>
      </c>
      <c r="B86" s="36" t="s">
        <v>195</v>
      </c>
      <c r="C86" s="22" t="n">
        <v>-3.31</v>
      </c>
      <c r="D86" s="22" t="n">
        <f aca="false">MAX(0,-C86)</f>
        <v>3.31</v>
      </c>
      <c r="E86" s="37" t="n">
        <f aca="false">IF($D$3=0,0,D86/$D$3)</f>
        <v>1.68444931153605E-005</v>
      </c>
    </row>
    <row r="87" customFormat="false" ht="15" hidden="false" customHeight="false" outlineLevel="0" collapsed="false">
      <c r="A87" s="35" t="n">
        <v>81</v>
      </c>
      <c r="B87" s="36" t="s">
        <v>49</v>
      </c>
      <c r="C87" s="22" t="n">
        <v>-1.53</v>
      </c>
      <c r="D87" s="22" t="n">
        <f aca="false">MAX(0,-C87)</f>
        <v>1.53</v>
      </c>
      <c r="E87" s="37" t="n">
        <f aca="false">IF($D$3=0,0,D87/$D$3)</f>
        <v>7.78612521646573E-006</v>
      </c>
    </row>
    <row r="88" customFormat="false" ht="15" hidden="false" customHeight="false" outlineLevel="0" collapsed="false">
      <c r="A88" s="35" t="n">
        <v>82</v>
      </c>
      <c r="B88" s="36" t="s">
        <v>200</v>
      </c>
      <c r="C88" s="22" t="n">
        <v>-1.21</v>
      </c>
      <c r="D88" s="22" t="n">
        <f aca="false">MAX(0,-C88)</f>
        <v>1.21</v>
      </c>
      <c r="E88" s="37" t="n">
        <f aca="false">IF($D$3=0,0,D88/$D$3)</f>
        <v>6.15765458295656E-006</v>
      </c>
    </row>
    <row r="89" customFormat="false" ht="15" hidden="false" customHeight="false" outlineLevel="0" collapsed="false">
      <c r="A89" s="35" t="n">
        <v>83</v>
      </c>
      <c r="B89" s="36" t="s">
        <v>94</v>
      </c>
      <c r="C89" s="22" t="n">
        <v>-1.11</v>
      </c>
      <c r="D89" s="22" t="n">
        <f aca="false">MAX(0,-C89)</f>
        <v>1.11</v>
      </c>
      <c r="E89" s="37" t="n">
        <f aca="false">IF($D$3=0,0,D89/$D$3)</f>
        <v>5.64875750998494E-006</v>
      </c>
    </row>
    <row r="90" customFormat="false" ht="15" hidden="false" customHeight="false" outlineLevel="0" collapsed="false">
      <c r="A90" s="35" t="n">
        <v>84</v>
      </c>
      <c r="B90" s="36" t="s">
        <v>151</v>
      </c>
      <c r="C90" s="22" t="n">
        <v>0</v>
      </c>
      <c r="D90" s="22" t="n">
        <f aca="false">MAX(0,-C90)</f>
        <v>-0</v>
      </c>
      <c r="E90" s="37" t="n">
        <f aca="false">IF($D$3=0,0,D90/$D$3)</f>
        <v>-0</v>
      </c>
    </row>
    <row r="91" customFormat="false" ht="15" hidden="false" customHeight="false" outlineLevel="0" collapsed="false">
      <c r="A91" s="35" t="n">
        <v>85</v>
      </c>
      <c r="B91" s="36" t="s">
        <v>232</v>
      </c>
      <c r="C91" s="22" t="n">
        <v>0</v>
      </c>
      <c r="D91" s="22" t="n">
        <f aca="false">MAX(0,-C91)</f>
        <v>-0</v>
      </c>
      <c r="E91" s="37" t="n">
        <f aca="false">IF($D$3=0,0,D91/$D$3)</f>
        <v>-0</v>
      </c>
    </row>
    <row r="92" customFormat="false" ht="15" hidden="false" customHeight="false" outlineLevel="0" collapsed="false">
      <c r="A92" s="35" t="n">
        <v>86</v>
      </c>
      <c r="B92" s="36" t="s">
        <v>184</v>
      </c>
      <c r="C92" s="22" t="n">
        <v>0</v>
      </c>
      <c r="D92" s="22" t="n">
        <f aca="false">MAX(0,-C92)</f>
        <v>-0</v>
      </c>
      <c r="E92" s="37" t="n">
        <f aca="false">IF($D$3=0,0,D92/$D$3)</f>
        <v>-0</v>
      </c>
    </row>
    <row r="93" customFormat="false" ht="15" hidden="false" customHeight="false" outlineLevel="0" collapsed="false">
      <c r="A93" s="35" t="n">
        <v>87</v>
      </c>
      <c r="B93" s="36" t="s">
        <v>219</v>
      </c>
      <c r="C93" s="22" t="n">
        <v>0</v>
      </c>
      <c r="D93" s="22" t="n">
        <f aca="false">MAX(0,-C93)</f>
        <v>-0</v>
      </c>
      <c r="E93" s="37" t="n">
        <f aca="false">IF($D$3=0,0,D93/$D$3)</f>
        <v>-0</v>
      </c>
    </row>
    <row r="94" customFormat="false" ht="15" hidden="false" customHeight="false" outlineLevel="0" collapsed="false">
      <c r="A94" s="35" t="n">
        <v>88</v>
      </c>
      <c r="B94" s="36" t="s">
        <v>191</v>
      </c>
      <c r="C94" s="22" t="n">
        <v>0</v>
      </c>
      <c r="D94" s="22" t="n">
        <f aca="false">MAX(0,-C94)</f>
        <v>-0</v>
      </c>
      <c r="E94" s="37" t="n">
        <f aca="false">IF($D$3=0,0,D94/$D$3)</f>
        <v>-0</v>
      </c>
    </row>
    <row r="95" customFormat="false" ht="15" hidden="false" customHeight="false" outlineLevel="0" collapsed="false">
      <c r="A95" s="35" t="n">
        <v>89</v>
      </c>
      <c r="B95" s="36" t="s">
        <v>143</v>
      </c>
      <c r="C95" s="22" t="n">
        <v>0</v>
      </c>
      <c r="D95" s="22" t="n">
        <f aca="false">MAX(0,-C95)</f>
        <v>-0</v>
      </c>
      <c r="E95" s="37" t="n">
        <f aca="false">IF($D$3=0,0,D95/$D$3)</f>
        <v>-0</v>
      </c>
    </row>
    <row r="96" customFormat="false" ht="15" hidden="false" customHeight="false" outlineLevel="0" collapsed="false">
      <c r="A96" s="35" t="n">
        <v>90</v>
      </c>
      <c r="B96" s="36" t="s">
        <v>135</v>
      </c>
      <c r="C96" s="22" t="n">
        <v>0</v>
      </c>
      <c r="D96" s="22" t="n">
        <f aca="false">MAX(0,-C96)</f>
        <v>-0</v>
      </c>
      <c r="E96" s="37" t="n">
        <f aca="false">IF($D$3=0,0,D96/$D$3)</f>
        <v>-0</v>
      </c>
    </row>
    <row r="97" customFormat="false" ht="15" hidden="false" customHeight="false" outlineLevel="0" collapsed="false">
      <c r="A97" s="35" t="n">
        <v>91</v>
      </c>
      <c r="B97" s="36" t="s">
        <v>128</v>
      </c>
      <c r="C97" s="22" t="n">
        <v>0</v>
      </c>
      <c r="D97" s="22" t="n">
        <f aca="false">MAX(0,-C97)</f>
        <v>-0</v>
      </c>
      <c r="E97" s="37" t="n">
        <f aca="false">IF($D$3=0,0,D97/$D$3)</f>
        <v>-0</v>
      </c>
    </row>
    <row r="98" customFormat="false" ht="15" hidden="false" customHeight="false" outlineLevel="0" collapsed="false">
      <c r="A98" s="35" t="n">
        <v>92</v>
      </c>
      <c r="B98" s="36" t="s">
        <v>116</v>
      </c>
      <c r="C98" s="22" t="n">
        <v>0</v>
      </c>
      <c r="D98" s="22" t="n">
        <f aca="false">MAX(0,-C98)</f>
        <v>-0</v>
      </c>
      <c r="E98" s="37" t="n">
        <f aca="false">IF($D$3=0,0,D98/$D$3)</f>
        <v>-0</v>
      </c>
    </row>
    <row r="99" customFormat="false" ht="15" hidden="false" customHeight="false" outlineLevel="0" collapsed="false">
      <c r="A99" s="35" t="n">
        <v>93</v>
      </c>
      <c r="B99" s="36" t="s">
        <v>58</v>
      </c>
      <c r="C99" s="22" t="n">
        <v>0</v>
      </c>
      <c r="D99" s="22" t="n">
        <f aca="false">MAX(0,-C99)</f>
        <v>-0</v>
      </c>
      <c r="E99" s="37" t="n">
        <f aca="false">IF($D$3=0,0,D99/$D$3)</f>
        <v>-0</v>
      </c>
    </row>
    <row r="100" customFormat="false" ht="15" hidden="false" customHeight="false" outlineLevel="0" collapsed="false">
      <c r="A100" s="35" t="n">
        <v>94</v>
      </c>
      <c r="B100" s="36" t="s">
        <v>104</v>
      </c>
      <c r="C100" s="22" t="n">
        <v>0</v>
      </c>
      <c r="D100" s="22" t="n">
        <f aca="false">MAX(0,-C100)</f>
        <v>-0</v>
      </c>
      <c r="E100" s="37" t="n">
        <f aca="false">IF($D$3=0,0,D100/$D$3)</f>
        <v>-0</v>
      </c>
    </row>
    <row r="101" customFormat="false" ht="15" hidden="false" customHeight="false" outlineLevel="0" collapsed="false">
      <c r="A101" s="35" t="n">
        <v>95</v>
      </c>
      <c r="B101" s="36" t="s">
        <v>55</v>
      </c>
      <c r="C101" s="22" t="n">
        <v>0</v>
      </c>
      <c r="D101" s="22" t="n">
        <f aca="false">MAX(0,-C101)</f>
        <v>-0</v>
      </c>
      <c r="E101" s="37" t="n">
        <f aca="false">IF($D$3=0,0,D101/$D$3)</f>
        <v>-0</v>
      </c>
    </row>
    <row r="102" customFormat="false" ht="15" hidden="false" customHeight="false" outlineLevel="0" collapsed="false">
      <c r="A102" s="35" t="n">
        <v>96</v>
      </c>
      <c r="B102" s="36" t="s">
        <v>216</v>
      </c>
      <c r="C102" s="22" t="n">
        <v>0</v>
      </c>
      <c r="D102" s="22" t="n">
        <f aca="false">MAX(0,-C102)</f>
        <v>-0</v>
      </c>
      <c r="E102" s="37" t="n">
        <f aca="false">IF($D$3=0,0,D102/$D$3)</f>
        <v>-0</v>
      </c>
    </row>
    <row r="103" customFormat="false" ht="15" hidden="false" customHeight="false" outlineLevel="0" collapsed="false">
      <c r="A103" s="35" t="n">
        <v>97</v>
      </c>
      <c r="B103" s="36" t="s">
        <v>173</v>
      </c>
      <c r="C103" s="22" t="n">
        <v>0</v>
      </c>
      <c r="D103" s="22" t="n">
        <f aca="false">MAX(0,-C103)</f>
        <v>-0</v>
      </c>
      <c r="E103" s="37" t="n">
        <f aca="false">IF($D$3=0,0,D103/$D$3)</f>
        <v>-0</v>
      </c>
    </row>
    <row r="104" customFormat="false" ht="15" hidden="false" customHeight="false" outlineLevel="0" collapsed="false">
      <c r="A104" s="35" t="n">
        <v>98</v>
      </c>
      <c r="B104" s="36" t="s">
        <v>45</v>
      </c>
      <c r="C104" s="22" t="n">
        <v>0</v>
      </c>
      <c r="D104" s="22" t="n">
        <f aca="false">MAX(0,-C104)</f>
        <v>-0</v>
      </c>
      <c r="E104" s="37" t="n">
        <f aca="false">IF($D$3=0,0,D104/$D$3)</f>
        <v>-0</v>
      </c>
    </row>
    <row r="105" customFormat="false" ht="15" hidden="false" customHeight="false" outlineLevel="0" collapsed="false">
      <c r="A105" s="35" t="n">
        <v>99</v>
      </c>
      <c r="B105" s="36" t="s">
        <v>193</v>
      </c>
      <c r="C105" s="22" t="n">
        <v>0.02</v>
      </c>
      <c r="D105" s="22" t="n">
        <f aca="false">MAX(0,-C105)</f>
        <v>0</v>
      </c>
      <c r="E105" s="37" t="n">
        <f aca="false">IF($D$3=0,0,D105/$D$3)</f>
        <v>0</v>
      </c>
    </row>
    <row r="106" customFormat="false" ht="15" hidden="false" customHeight="false" outlineLevel="0" collapsed="false">
      <c r="A106" s="35" t="n">
        <v>100</v>
      </c>
      <c r="B106" s="36" t="s">
        <v>83</v>
      </c>
      <c r="C106" s="22" t="n">
        <v>0.02</v>
      </c>
      <c r="D106" s="22" t="n">
        <f aca="false">MAX(0,-C106)</f>
        <v>0</v>
      </c>
      <c r="E106" s="37" t="n">
        <f aca="false">IF($D$3=0,0,D106/$D$3)</f>
        <v>0</v>
      </c>
    </row>
    <row r="107" customFormat="false" ht="15" hidden="false" customHeight="false" outlineLevel="0" collapsed="false">
      <c r="A107" s="35" t="n">
        <v>101</v>
      </c>
      <c r="B107" s="36" t="s">
        <v>170</v>
      </c>
      <c r="C107" s="22" t="n">
        <v>0.04</v>
      </c>
      <c r="D107" s="22" t="n">
        <f aca="false">MAX(0,-C107)</f>
        <v>0</v>
      </c>
      <c r="E107" s="37" t="n">
        <f aca="false">IF($D$3=0,0,D107/$D$3)</f>
        <v>0</v>
      </c>
    </row>
    <row r="108" customFormat="false" ht="15" hidden="false" customHeight="false" outlineLevel="0" collapsed="false">
      <c r="A108" s="35" t="n">
        <v>102</v>
      </c>
      <c r="B108" s="36" t="s">
        <v>153</v>
      </c>
      <c r="C108" s="22" t="n">
        <v>0.12</v>
      </c>
      <c r="D108" s="22" t="n">
        <f aca="false">MAX(0,-C108)</f>
        <v>0</v>
      </c>
      <c r="E108" s="37" t="n">
        <f aca="false">IF($D$3=0,0,D108/$D$3)</f>
        <v>0</v>
      </c>
    </row>
    <row r="109" customFormat="false" ht="15" hidden="false" customHeight="false" outlineLevel="0" collapsed="false">
      <c r="A109" s="35" t="n">
        <v>103</v>
      </c>
      <c r="B109" s="36" t="s">
        <v>97</v>
      </c>
      <c r="C109" s="22" t="n">
        <v>0.19</v>
      </c>
      <c r="D109" s="22" t="n">
        <f aca="false">MAX(0,-C109)</f>
        <v>0</v>
      </c>
      <c r="E109" s="37" t="n">
        <f aca="false">IF($D$3=0,0,D109/$D$3)</f>
        <v>0</v>
      </c>
    </row>
    <row r="110" customFormat="false" ht="15" hidden="false" customHeight="false" outlineLevel="0" collapsed="false">
      <c r="A110" s="35" t="n">
        <v>104</v>
      </c>
      <c r="B110" s="36" t="s">
        <v>93</v>
      </c>
      <c r="C110" s="22" t="n">
        <v>0.31</v>
      </c>
      <c r="D110" s="22" t="n">
        <f aca="false">MAX(0,-C110)</f>
        <v>0</v>
      </c>
      <c r="E110" s="37" t="n">
        <f aca="false">IF($D$3=0,0,D110/$D$3)</f>
        <v>0</v>
      </c>
    </row>
    <row r="111" customFormat="false" ht="15" hidden="false" customHeight="false" outlineLevel="0" collapsed="false">
      <c r="A111" s="35" t="n">
        <v>105</v>
      </c>
      <c r="B111" s="36" t="s">
        <v>87</v>
      </c>
      <c r="C111" s="22" t="n">
        <v>0.43</v>
      </c>
      <c r="D111" s="22" t="n">
        <f aca="false">MAX(0,-C111)</f>
        <v>0</v>
      </c>
      <c r="E111" s="37" t="n">
        <f aca="false">IF($D$3=0,0,D111/$D$3)</f>
        <v>0</v>
      </c>
    </row>
    <row r="112" customFormat="false" ht="15" hidden="false" customHeight="false" outlineLevel="0" collapsed="false">
      <c r="A112" s="35" t="n">
        <v>106</v>
      </c>
      <c r="B112" s="36" t="s">
        <v>158</v>
      </c>
      <c r="C112" s="22" t="n">
        <v>0.65</v>
      </c>
      <c r="D112" s="22" t="n">
        <f aca="false">MAX(0,-C112)</f>
        <v>0</v>
      </c>
      <c r="E112" s="37" t="n">
        <f aca="false">IF($D$3=0,0,D112/$D$3)</f>
        <v>0</v>
      </c>
    </row>
    <row r="113" customFormat="false" ht="15" hidden="false" customHeight="false" outlineLevel="0" collapsed="false">
      <c r="A113" s="35" t="n">
        <v>107</v>
      </c>
      <c r="B113" s="36" t="s">
        <v>109</v>
      </c>
      <c r="C113" s="22" t="n">
        <v>0.91</v>
      </c>
      <c r="D113" s="22" t="n">
        <f aca="false">MAX(0,-C113)</f>
        <v>0</v>
      </c>
      <c r="E113" s="37" t="n">
        <f aca="false">IF($D$3=0,0,D113/$D$3)</f>
        <v>0</v>
      </c>
    </row>
    <row r="114" customFormat="false" ht="15" hidden="false" customHeight="false" outlineLevel="0" collapsed="false">
      <c r="A114" s="35" t="n">
        <v>108</v>
      </c>
      <c r="B114" s="36" t="s">
        <v>138</v>
      </c>
      <c r="C114" s="22" t="n">
        <v>1.31</v>
      </c>
      <c r="D114" s="22" t="n">
        <f aca="false">MAX(0,-C114)</f>
        <v>0</v>
      </c>
      <c r="E114" s="37" t="n">
        <f aca="false">IF($D$3=0,0,D114/$D$3)</f>
        <v>0</v>
      </c>
    </row>
    <row r="115" customFormat="false" ht="15" hidden="false" customHeight="false" outlineLevel="0" collapsed="false">
      <c r="A115" s="35" t="n">
        <v>109</v>
      </c>
      <c r="B115" s="36" t="s">
        <v>51</v>
      </c>
      <c r="C115" s="22" t="n">
        <v>1.43</v>
      </c>
      <c r="D115" s="22" t="n">
        <f aca="false">MAX(0,-C115)</f>
        <v>0</v>
      </c>
      <c r="E115" s="37" t="n">
        <f aca="false">IF($D$3=0,0,D115/$D$3)</f>
        <v>0</v>
      </c>
    </row>
    <row r="116" customFormat="false" ht="15" hidden="false" customHeight="false" outlineLevel="0" collapsed="false">
      <c r="A116" s="35" t="n">
        <v>110</v>
      </c>
      <c r="B116" s="36" t="s">
        <v>147</v>
      </c>
      <c r="C116" s="22" t="n">
        <v>2</v>
      </c>
      <c r="D116" s="22" t="n">
        <f aca="false">MAX(0,-C116)</f>
        <v>0</v>
      </c>
      <c r="E116" s="37" t="n">
        <f aca="false">IF($D$3=0,0,D116/$D$3)</f>
        <v>0</v>
      </c>
    </row>
    <row r="117" customFormat="false" ht="15" hidden="false" customHeight="false" outlineLevel="0" collapsed="false">
      <c r="A117" s="35" t="n">
        <v>111</v>
      </c>
      <c r="B117" s="36" t="s">
        <v>175</v>
      </c>
      <c r="C117" s="22" t="n">
        <v>2.02</v>
      </c>
      <c r="D117" s="22" t="n">
        <f aca="false">MAX(0,-C117)</f>
        <v>0</v>
      </c>
      <c r="E117" s="37" t="n">
        <f aca="false">IF($D$3=0,0,D117/$D$3)</f>
        <v>0</v>
      </c>
    </row>
    <row r="118" customFormat="false" ht="15" hidden="false" customHeight="false" outlineLevel="0" collapsed="false">
      <c r="A118" s="35" t="n">
        <v>112</v>
      </c>
      <c r="B118" s="36" t="s">
        <v>56</v>
      </c>
      <c r="C118" s="22" t="n">
        <v>2.04</v>
      </c>
      <c r="D118" s="22" t="n">
        <f aca="false">MAX(0,-C118)</f>
        <v>0</v>
      </c>
      <c r="E118" s="37" t="n">
        <f aca="false">IF($D$3=0,0,D118/$D$3)</f>
        <v>0</v>
      </c>
    </row>
    <row r="119" customFormat="false" ht="15" hidden="false" customHeight="false" outlineLevel="0" collapsed="false">
      <c r="A119" s="35" t="n">
        <v>113</v>
      </c>
      <c r="B119" s="36" t="s">
        <v>142</v>
      </c>
      <c r="C119" s="22" t="n">
        <v>2.24</v>
      </c>
      <c r="D119" s="22" t="n">
        <f aca="false">MAX(0,-C119)</f>
        <v>0</v>
      </c>
      <c r="E119" s="37" t="n">
        <f aca="false">IF($D$3=0,0,D119/$D$3)</f>
        <v>0</v>
      </c>
    </row>
    <row r="120" customFormat="false" ht="15" hidden="false" customHeight="false" outlineLevel="0" collapsed="false">
      <c r="A120" s="35" t="n">
        <v>114</v>
      </c>
      <c r="B120" s="36" t="s">
        <v>66</v>
      </c>
      <c r="C120" s="22" t="n">
        <v>2.3</v>
      </c>
      <c r="D120" s="22" t="n">
        <f aca="false">MAX(0,-C120)</f>
        <v>0</v>
      </c>
      <c r="E120" s="37" t="n">
        <f aca="false">IF($D$3=0,0,D120/$D$3)</f>
        <v>0</v>
      </c>
    </row>
    <row r="121" customFormat="false" ht="15" hidden="false" customHeight="false" outlineLevel="0" collapsed="false">
      <c r="A121" s="35" t="n">
        <v>115</v>
      </c>
      <c r="B121" s="36" t="s">
        <v>182</v>
      </c>
      <c r="C121" s="22" t="n">
        <v>2.76</v>
      </c>
      <c r="D121" s="22" t="n">
        <f aca="false">MAX(0,-C121)</f>
        <v>0</v>
      </c>
      <c r="E121" s="37" t="n">
        <f aca="false">IF($D$3=0,0,D121/$D$3)</f>
        <v>0</v>
      </c>
    </row>
    <row r="122" customFormat="false" ht="15" hidden="false" customHeight="false" outlineLevel="0" collapsed="false">
      <c r="A122" s="35" t="n">
        <v>116</v>
      </c>
      <c r="B122" s="36" t="s">
        <v>117</v>
      </c>
      <c r="C122" s="22" t="n">
        <v>2.79</v>
      </c>
      <c r="D122" s="22" t="n">
        <f aca="false">MAX(0,-C122)</f>
        <v>0</v>
      </c>
      <c r="E122" s="37" t="n">
        <f aca="false">IF($D$3=0,0,D122/$D$3)</f>
        <v>0</v>
      </c>
    </row>
    <row r="123" customFormat="false" ht="15" hidden="false" customHeight="false" outlineLevel="0" collapsed="false">
      <c r="A123" s="35" t="n">
        <v>117</v>
      </c>
      <c r="B123" s="36" t="s">
        <v>60</v>
      </c>
      <c r="C123" s="22" t="n">
        <v>3.22</v>
      </c>
      <c r="D123" s="22" t="n">
        <f aca="false">MAX(0,-C123)</f>
        <v>0</v>
      </c>
      <c r="E123" s="37" t="n">
        <f aca="false">IF($D$3=0,0,D123/$D$3)</f>
        <v>0</v>
      </c>
    </row>
    <row r="124" customFormat="false" ht="15" hidden="false" customHeight="false" outlineLevel="0" collapsed="false">
      <c r="A124" s="35" t="n">
        <v>118</v>
      </c>
      <c r="B124" s="36" t="s">
        <v>192</v>
      </c>
      <c r="C124" s="22" t="n">
        <v>3.68</v>
      </c>
      <c r="D124" s="22" t="n">
        <f aca="false">MAX(0,-C124)</f>
        <v>0</v>
      </c>
      <c r="E124" s="37" t="n">
        <f aca="false">IF($D$3=0,0,D124/$D$3)</f>
        <v>0</v>
      </c>
    </row>
    <row r="125" customFormat="false" ht="15" hidden="false" customHeight="false" outlineLevel="0" collapsed="false">
      <c r="A125" s="35" t="n">
        <v>119</v>
      </c>
      <c r="B125" s="36" t="s">
        <v>154</v>
      </c>
      <c r="C125" s="22" t="n">
        <v>3.78</v>
      </c>
      <c r="D125" s="22" t="n">
        <f aca="false">MAX(0,-C125)</f>
        <v>0</v>
      </c>
      <c r="E125" s="37" t="n">
        <f aca="false">IF($D$3=0,0,D125/$D$3)</f>
        <v>0</v>
      </c>
    </row>
    <row r="126" customFormat="false" ht="15" hidden="false" customHeight="false" outlineLevel="0" collapsed="false">
      <c r="A126" s="35" t="n">
        <v>120</v>
      </c>
      <c r="B126" s="36" t="s">
        <v>196</v>
      </c>
      <c r="C126" s="22" t="n">
        <v>4.5</v>
      </c>
      <c r="D126" s="22" t="n">
        <f aca="false">MAX(0,-C126)</f>
        <v>0</v>
      </c>
      <c r="E126" s="37" t="n">
        <f aca="false">IF($D$3=0,0,D126/$D$3)</f>
        <v>0</v>
      </c>
    </row>
    <row r="127" customFormat="false" ht="15" hidden="false" customHeight="false" outlineLevel="0" collapsed="false">
      <c r="A127" s="35" t="n">
        <v>121</v>
      </c>
      <c r="B127" s="36" t="s">
        <v>190</v>
      </c>
      <c r="C127" s="22" t="n">
        <v>6.15</v>
      </c>
      <c r="D127" s="22" t="n">
        <f aca="false">MAX(0,-C127)</f>
        <v>0</v>
      </c>
      <c r="E127" s="37" t="n">
        <f aca="false">IF($D$3=0,0,D127/$D$3)</f>
        <v>0</v>
      </c>
    </row>
    <row r="128" customFormat="false" ht="15" hidden="false" customHeight="false" outlineLevel="0" collapsed="false">
      <c r="A128" s="35" t="n">
        <v>122</v>
      </c>
      <c r="B128" s="36" t="s">
        <v>165</v>
      </c>
      <c r="C128" s="22" t="n">
        <v>8.93</v>
      </c>
      <c r="D128" s="22" t="n">
        <f aca="false">MAX(0,-C128)</f>
        <v>0</v>
      </c>
      <c r="E128" s="37" t="n">
        <f aca="false">IF($D$3=0,0,D128/$D$3)</f>
        <v>0</v>
      </c>
    </row>
    <row r="129" customFormat="false" ht="15" hidden="false" customHeight="false" outlineLevel="0" collapsed="false">
      <c r="A129" s="35" t="n">
        <v>123</v>
      </c>
      <c r="B129" s="36" t="s">
        <v>223</v>
      </c>
      <c r="C129" s="22" t="n">
        <v>8.94</v>
      </c>
      <c r="D129" s="22" t="n">
        <f aca="false">MAX(0,-C129)</f>
        <v>0</v>
      </c>
      <c r="E129" s="37" t="n">
        <f aca="false">IF($D$3=0,0,D129/$D$3)</f>
        <v>0</v>
      </c>
    </row>
    <row r="130" customFormat="false" ht="15" hidden="false" customHeight="false" outlineLevel="0" collapsed="false">
      <c r="A130" s="35" t="n">
        <v>124</v>
      </c>
      <c r="B130" s="36" t="s">
        <v>202</v>
      </c>
      <c r="C130" s="22" t="n">
        <v>10.66</v>
      </c>
      <c r="D130" s="22" t="n">
        <f aca="false">MAX(0,-C130)</f>
        <v>0</v>
      </c>
      <c r="E130" s="37" t="n">
        <f aca="false">IF($D$3=0,0,D130/$D$3)</f>
        <v>0</v>
      </c>
    </row>
    <row r="131" customFormat="false" ht="15" hidden="false" customHeight="false" outlineLevel="0" collapsed="false">
      <c r="A131" s="35" t="n">
        <v>125</v>
      </c>
      <c r="B131" s="36" t="s">
        <v>72</v>
      </c>
      <c r="C131" s="22" t="n">
        <v>11.92</v>
      </c>
      <c r="D131" s="22" t="n">
        <f aca="false">MAX(0,-C131)</f>
        <v>0</v>
      </c>
      <c r="E131" s="37" t="n">
        <f aca="false">IF($D$3=0,0,D131/$D$3)</f>
        <v>0</v>
      </c>
    </row>
    <row r="132" customFormat="false" ht="15" hidden="false" customHeight="false" outlineLevel="0" collapsed="false">
      <c r="A132" s="35" t="n">
        <v>126</v>
      </c>
      <c r="B132" s="36" t="s">
        <v>212</v>
      </c>
      <c r="C132" s="22" t="n">
        <v>13.9</v>
      </c>
      <c r="D132" s="22" t="n">
        <f aca="false">MAX(0,-C132)</f>
        <v>0</v>
      </c>
      <c r="E132" s="37" t="n">
        <f aca="false">IF($D$3=0,0,D132/$D$3)</f>
        <v>0</v>
      </c>
    </row>
    <row r="133" customFormat="false" ht="15" hidden="false" customHeight="false" outlineLevel="0" collapsed="false">
      <c r="A133" s="35" t="n">
        <v>127</v>
      </c>
      <c r="B133" s="36" t="s">
        <v>183</v>
      </c>
      <c r="C133" s="22" t="n">
        <v>17.33</v>
      </c>
      <c r="D133" s="22" t="n">
        <f aca="false">MAX(0,-C133)</f>
        <v>0</v>
      </c>
      <c r="E133" s="37" t="n">
        <f aca="false">IF($D$3=0,0,D133/$D$3)</f>
        <v>0</v>
      </c>
    </row>
    <row r="134" customFormat="false" ht="15" hidden="false" customHeight="false" outlineLevel="0" collapsed="false">
      <c r="A134" s="35" t="n">
        <v>128</v>
      </c>
      <c r="B134" s="36" t="s">
        <v>218</v>
      </c>
      <c r="C134" s="22" t="n">
        <v>24.25</v>
      </c>
      <c r="D134" s="22" t="n">
        <f aca="false">MAX(0,-C134)</f>
        <v>0</v>
      </c>
      <c r="E134" s="37" t="n">
        <f aca="false">IF($D$3=0,0,D134/$D$3)</f>
        <v>0</v>
      </c>
    </row>
    <row r="135" customFormat="false" ht="15" hidden="false" customHeight="false" outlineLevel="0" collapsed="false">
      <c r="A135" s="35" t="n">
        <v>129</v>
      </c>
      <c r="B135" s="36" t="s">
        <v>186</v>
      </c>
      <c r="C135" s="22" t="n">
        <v>27.06</v>
      </c>
      <c r="D135" s="22" t="n">
        <f aca="false">MAX(0,-C135)</f>
        <v>0</v>
      </c>
      <c r="E135" s="37" t="n">
        <f aca="false">IF($D$3=0,0,D135/$D$3)</f>
        <v>0</v>
      </c>
    </row>
    <row r="136" customFormat="false" ht="15" hidden="false" customHeight="false" outlineLevel="0" collapsed="false">
      <c r="A136" s="35" t="n">
        <v>130</v>
      </c>
      <c r="B136" s="36" t="s">
        <v>125</v>
      </c>
      <c r="C136" s="22" t="n">
        <v>27.33</v>
      </c>
      <c r="D136" s="22" t="n">
        <f aca="false">MAX(0,-C136)</f>
        <v>0</v>
      </c>
      <c r="E136" s="37" t="n">
        <f aca="false">IF($D$3=0,0,D136/$D$3)</f>
        <v>0</v>
      </c>
    </row>
    <row r="137" customFormat="false" ht="15" hidden="false" customHeight="false" outlineLevel="0" collapsed="false">
      <c r="A137" s="35" t="n">
        <v>131</v>
      </c>
      <c r="B137" s="36" t="s">
        <v>201</v>
      </c>
      <c r="C137" s="22" t="n">
        <v>35.37</v>
      </c>
      <c r="D137" s="22" t="n">
        <f aca="false">MAX(0,-C137)</f>
        <v>0</v>
      </c>
      <c r="E137" s="37" t="n">
        <f aca="false">IF($D$3=0,0,D137/$D$3)</f>
        <v>0</v>
      </c>
    </row>
    <row r="138" customFormat="false" ht="15" hidden="false" customHeight="false" outlineLevel="0" collapsed="false">
      <c r="A138" s="35" t="n">
        <v>132</v>
      </c>
      <c r="B138" s="36" t="s">
        <v>134</v>
      </c>
      <c r="C138" s="22" t="n">
        <v>36.4</v>
      </c>
      <c r="D138" s="22" t="n">
        <f aca="false">MAX(0,-C138)</f>
        <v>0</v>
      </c>
      <c r="E138" s="37" t="n">
        <f aca="false">IF($D$3=0,0,D138/$D$3)</f>
        <v>0</v>
      </c>
    </row>
    <row r="139" customFormat="false" ht="15" hidden="false" customHeight="false" outlineLevel="0" collapsed="false">
      <c r="A139" s="35" t="n">
        <v>133</v>
      </c>
      <c r="B139" s="36" t="s">
        <v>180</v>
      </c>
      <c r="C139" s="22" t="n">
        <v>44.48</v>
      </c>
      <c r="D139" s="22" t="n">
        <f aca="false">MAX(0,-C139)</f>
        <v>0</v>
      </c>
      <c r="E139" s="37" t="n">
        <f aca="false">IF($D$3=0,0,D139/$D$3)</f>
        <v>0</v>
      </c>
    </row>
    <row r="140" customFormat="false" ht="15" hidden="false" customHeight="false" outlineLevel="0" collapsed="false">
      <c r="A140" s="35" t="n">
        <v>134</v>
      </c>
      <c r="B140" s="36" t="s">
        <v>65</v>
      </c>
      <c r="C140" s="22" t="n">
        <v>48.35</v>
      </c>
      <c r="D140" s="22" t="n">
        <f aca="false">MAX(0,-C140)</f>
        <v>0</v>
      </c>
      <c r="E140" s="37" t="n">
        <f aca="false">IF($D$3=0,0,D140/$D$3)</f>
        <v>0</v>
      </c>
    </row>
    <row r="141" customFormat="false" ht="15" hidden="false" customHeight="false" outlineLevel="0" collapsed="false">
      <c r="A141" s="35" t="n">
        <v>135</v>
      </c>
      <c r="B141" s="36" t="s">
        <v>166</v>
      </c>
      <c r="C141" s="22" t="n">
        <v>54.76</v>
      </c>
      <c r="D141" s="22" t="n">
        <f aca="false">MAX(0,-C141)</f>
        <v>0</v>
      </c>
      <c r="E141" s="37" t="n">
        <f aca="false">IF($D$3=0,0,D141/$D$3)</f>
        <v>0</v>
      </c>
    </row>
    <row r="142" customFormat="false" ht="15" hidden="false" customHeight="false" outlineLevel="0" collapsed="false">
      <c r="A142" s="35" t="n">
        <v>136</v>
      </c>
      <c r="B142" s="36" t="s">
        <v>85</v>
      </c>
      <c r="C142" s="22" t="n">
        <v>58.56</v>
      </c>
      <c r="D142" s="22" t="n">
        <f aca="false">MAX(0,-C142)</f>
        <v>0</v>
      </c>
      <c r="E142" s="37" t="n">
        <f aca="false">IF($D$3=0,0,D142/$D$3)</f>
        <v>0</v>
      </c>
    </row>
    <row r="143" customFormat="false" ht="15" hidden="false" customHeight="false" outlineLevel="0" collapsed="false">
      <c r="A143" s="35" t="n">
        <v>137</v>
      </c>
      <c r="B143" s="36" t="s">
        <v>53</v>
      </c>
      <c r="C143" s="22" t="n">
        <v>60.13</v>
      </c>
      <c r="D143" s="22" t="n">
        <f aca="false">MAX(0,-C143)</f>
        <v>0</v>
      </c>
      <c r="E143" s="37" t="n">
        <f aca="false">IF($D$3=0,0,D143/$D$3)</f>
        <v>0</v>
      </c>
    </row>
    <row r="144" customFormat="false" ht="15" hidden="false" customHeight="false" outlineLevel="0" collapsed="false">
      <c r="A144" s="35" t="n">
        <v>138</v>
      </c>
      <c r="B144" s="36" t="s">
        <v>155</v>
      </c>
      <c r="C144" s="22" t="n">
        <v>60.44</v>
      </c>
      <c r="D144" s="22" t="n">
        <f aca="false">MAX(0,-C144)</f>
        <v>0</v>
      </c>
      <c r="E144" s="37" t="n">
        <f aca="false">IF($D$3=0,0,D144/$D$3)</f>
        <v>0</v>
      </c>
    </row>
    <row r="145" customFormat="false" ht="15" hidden="false" customHeight="false" outlineLevel="0" collapsed="false">
      <c r="A145" s="35" t="n">
        <v>139</v>
      </c>
      <c r="B145" s="36" t="s">
        <v>112</v>
      </c>
      <c r="C145" s="22" t="n">
        <v>61.8</v>
      </c>
      <c r="D145" s="22" t="n">
        <f aca="false">MAX(0,-C145)</f>
        <v>0</v>
      </c>
      <c r="E145" s="37" t="n">
        <f aca="false">IF($D$3=0,0,D145/$D$3)</f>
        <v>0</v>
      </c>
    </row>
    <row r="146" customFormat="false" ht="15" hidden="false" customHeight="false" outlineLevel="0" collapsed="false">
      <c r="A146" s="35" t="n">
        <v>140</v>
      </c>
      <c r="B146" s="36" t="s">
        <v>211</v>
      </c>
      <c r="C146" s="22" t="n">
        <v>66.98</v>
      </c>
      <c r="D146" s="22" t="n">
        <f aca="false">MAX(0,-C146)</f>
        <v>0</v>
      </c>
      <c r="E146" s="37" t="n">
        <f aca="false">IF($D$3=0,0,D146/$D$3)</f>
        <v>0</v>
      </c>
    </row>
    <row r="147" customFormat="false" ht="15" hidden="false" customHeight="false" outlineLevel="0" collapsed="false">
      <c r="A147" s="35" t="n">
        <v>141</v>
      </c>
      <c r="B147" s="36" t="s">
        <v>92</v>
      </c>
      <c r="C147" s="22" t="n">
        <v>67.02</v>
      </c>
      <c r="D147" s="22" t="n">
        <f aca="false">MAX(0,-C147)</f>
        <v>0</v>
      </c>
      <c r="E147" s="37" t="n">
        <f aca="false">IF($D$3=0,0,D147/$D$3)</f>
        <v>0</v>
      </c>
    </row>
    <row r="148" customFormat="false" ht="15" hidden="false" customHeight="false" outlineLevel="0" collapsed="false">
      <c r="A148" s="35" t="n">
        <v>142</v>
      </c>
      <c r="B148" s="36" t="s">
        <v>210</v>
      </c>
      <c r="C148" s="22" t="n">
        <v>67.18</v>
      </c>
      <c r="D148" s="22" t="n">
        <f aca="false">MAX(0,-C148)</f>
        <v>0</v>
      </c>
      <c r="E148" s="37" t="n">
        <f aca="false">IF($D$3=0,0,D148/$D$3)</f>
        <v>0</v>
      </c>
    </row>
    <row r="149" customFormat="false" ht="15" hidden="false" customHeight="false" outlineLevel="0" collapsed="false">
      <c r="A149" s="35" t="n">
        <v>143</v>
      </c>
      <c r="B149" s="36" t="s">
        <v>139</v>
      </c>
      <c r="C149" s="22" t="n">
        <v>74.45</v>
      </c>
      <c r="D149" s="22" t="n">
        <f aca="false">MAX(0,-C149)</f>
        <v>0</v>
      </c>
      <c r="E149" s="37" t="n">
        <f aca="false">IF($D$3=0,0,D149/$D$3)</f>
        <v>0</v>
      </c>
    </row>
    <row r="150" customFormat="false" ht="15" hidden="false" customHeight="false" outlineLevel="0" collapsed="false">
      <c r="A150" s="35" t="n">
        <v>144</v>
      </c>
      <c r="B150" s="36" t="s">
        <v>171</v>
      </c>
      <c r="C150" s="22" t="n">
        <v>75.04</v>
      </c>
      <c r="D150" s="22" t="n">
        <f aca="false">MAX(0,-C150)</f>
        <v>0</v>
      </c>
      <c r="E150" s="37" t="n">
        <f aca="false">IF($D$3=0,0,D150/$D$3)</f>
        <v>0</v>
      </c>
    </row>
    <row r="151" customFormat="false" ht="15" hidden="false" customHeight="false" outlineLevel="0" collapsed="false">
      <c r="A151" s="35" t="n">
        <v>145</v>
      </c>
      <c r="B151" s="36" t="s">
        <v>95</v>
      </c>
      <c r="C151" s="22" t="n">
        <v>78.42</v>
      </c>
      <c r="D151" s="22" t="n">
        <f aca="false">MAX(0,-C151)</f>
        <v>0</v>
      </c>
      <c r="E151" s="37" t="n">
        <f aca="false">IF($D$3=0,0,D151/$D$3)</f>
        <v>0</v>
      </c>
    </row>
    <row r="152" customFormat="false" ht="15" hidden="false" customHeight="false" outlineLevel="0" collapsed="false">
      <c r="A152" s="35" t="n">
        <v>146</v>
      </c>
      <c r="B152" s="36" t="s">
        <v>88</v>
      </c>
      <c r="C152" s="22" t="n">
        <v>85</v>
      </c>
      <c r="D152" s="22" t="n">
        <f aca="false">MAX(0,-C152)</f>
        <v>0</v>
      </c>
      <c r="E152" s="37" t="n">
        <f aca="false">IF($D$3=0,0,D152/$D$3)</f>
        <v>0</v>
      </c>
    </row>
    <row r="153" customFormat="false" ht="15" hidden="false" customHeight="false" outlineLevel="0" collapsed="false">
      <c r="A153" s="35" t="n">
        <v>147</v>
      </c>
      <c r="B153" s="36" t="s">
        <v>71</v>
      </c>
      <c r="C153" s="22" t="n">
        <v>85.7</v>
      </c>
      <c r="D153" s="22" t="n">
        <f aca="false">MAX(0,-C153)</f>
        <v>0</v>
      </c>
      <c r="E153" s="37" t="n">
        <f aca="false">IF($D$3=0,0,D153/$D$3)</f>
        <v>0</v>
      </c>
    </row>
    <row r="154" customFormat="false" ht="15" hidden="false" customHeight="false" outlineLevel="0" collapsed="false">
      <c r="A154" s="35" t="n">
        <v>148</v>
      </c>
      <c r="B154" s="36" t="s">
        <v>63</v>
      </c>
      <c r="C154" s="22" t="n">
        <v>85.71</v>
      </c>
      <c r="D154" s="22" t="n">
        <f aca="false">MAX(0,-C154)</f>
        <v>0</v>
      </c>
      <c r="E154" s="37" t="n">
        <f aca="false">IF($D$3=0,0,D154/$D$3)</f>
        <v>0</v>
      </c>
    </row>
    <row r="155" customFormat="false" ht="15" hidden="false" customHeight="false" outlineLevel="0" collapsed="false">
      <c r="A155" s="35" t="n">
        <v>149</v>
      </c>
      <c r="B155" s="36" t="s">
        <v>133</v>
      </c>
      <c r="C155" s="22" t="n">
        <v>87.53</v>
      </c>
      <c r="D155" s="22" t="n">
        <f aca="false">MAX(0,-C155)</f>
        <v>0</v>
      </c>
      <c r="E155" s="37" t="n">
        <f aca="false">IF($D$3=0,0,D155/$D$3)</f>
        <v>0</v>
      </c>
    </row>
    <row r="156" customFormat="false" ht="15" hidden="false" customHeight="false" outlineLevel="0" collapsed="false">
      <c r="A156" s="35" t="n">
        <v>150</v>
      </c>
      <c r="B156" s="36" t="s">
        <v>106</v>
      </c>
      <c r="C156" s="22" t="n">
        <v>97.36</v>
      </c>
      <c r="D156" s="22" t="n">
        <f aca="false">MAX(0,-C156)</f>
        <v>0</v>
      </c>
      <c r="E156" s="37" t="n">
        <f aca="false">IF($D$3=0,0,D156/$D$3)</f>
        <v>0</v>
      </c>
    </row>
    <row r="157" customFormat="false" ht="15" hidden="false" customHeight="false" outlineLevel="0" collapsed="false">
      <c r="A157" s="35" t="n">
        <v>151</v>
      </c>
      <c r="B157" s="36" t="s">
        <v>113</v>
      </c>
      <c r="C157" s="22" t="n">
        <v>117.8</v>
      </c>
      <c r="D157" s="22" t="n">
        <f aca="false">MAX(0,-C157)</f>
        <v>0</v>
      </c>
      <c r="E157" s="37" t="n">
        <f aca="false">IF($D$3=0,0,D157/$D$3)</f>
        <v>0</v>
      </c>
    </row>
    <row r="158" customFormat="false" ht="15" hidden="false" customHeight="false" outlineLevel="0" collapsed="false">
      <c r="A158" s="35" t="n">
        <v>152</v>
      </c>
      <c r="B158" s="36" t="s">
        <v>105</v>
      </c>
      <c r="C158" s="22" t="n">
        <v>120.87</v>
      </c>
      <c r="D158" s="22" t="n">
        <f aca="false">MAX(0,-C158)</f>
        <v>0</v>
      </c>
      <c r="E158" s="37" t="n">
        <f aca="false">IF($D$3=0,0,D158/$D$3)</f>
        <v>0</v>
      </c>
    </row>
    <row r="159" customFormat="false" ht="15" hidden="false" customHeight="false" outlineLevel="0" collapsed="false">
      <c r="A159" s="35" t="n">
        <v>153</v>
      </c>
      <c r="B159" s="36" t="s">
        <v>84</v>
      </c>
      <c r="C159" s="22" t="n">
        <v>133.55</v>
      </c>
      <c r="D159" s="22" t="n">
        <f aca="false">MAX(0,-C159)</f>
        <v>0</v>
      </c>
      <c r="E159" s="37" t="n">
        <f aca="false">IF($D$3=0,0,D159/$D$3)</f>
        <v>0</v>
      </c>
    </row>
    <row r="160" customFormat="false" ht="15" hidden="false" customHeight="false" outlineLevel="0" collapsed="false">
      <c r="A160" s="35" t="n">
        <v>154</v>
      </c>
      <c r="B160" s="36" t="s">
        <v>124</v>
      </c>
      <c r="C160" s="22" t="n">
        <v>154.05</v>
      </c>
      <c r="D160" s="22" t="n">
        <f aca="false">MAX(0,-C160)</f>
        <v>0</v>
      </c>
      <c r="E160" s="37" t="n">
        <f aca="false">IF($D$3=0,0,D160/$D$3)</f>
        <v>0</v>
      </c>
    </row>
    <row r="161" customFormat="false" ht="15" hidden="false" customHeight="false" outlineLevel="0" collapsed="false">
      <c r="A161" s="35" t="n">
        <v>155</v>
      </c>
      <c r="B161" s="36" t="s">
        <v>46</v>
      </c>
      <c r="C161" s="22" t="n">
        <v>171.7</v>
      </c>
      <c r="D161" s="22" t="n">
        <f aca="false">MAX(0,-C161)</f>
        <v>0</v>
      </c>
      <c r="E161" s="37" t="n">
        <f aca="false">IF($D$3=0,0,D161/$D$3)</f>
        <v>0</v>
      </c>
    </row>
    <row r="162" customFormat="false" ht="15" hidden="false" customHeight="false" outlineLevel="0" collapsed="false">
      <c r="A162" s="35" t="n">
        <v>156</v>
      </c>
      <c r="B162" s="36" t="s">
        <v>130</v>
      </c>
      <c r="C162" s="22" t="n">
        <v>186.68</v>
      </c>
      <c r="D162" s="22" t="n">
        <f aca="false">MAX(0,-C162)</f>
        <v>0</v>
      </c>
      <c r="E162" s="37" t="n">
        <f aca="false">IF($D$3=0,0,D162/$D$3)</f>
        <v>0</v>
      </c>
    </row>
    <row r="163" customFormat="false" ht="15" hidden="false" customHeight="false" outlineLevel="0" collapsed="false">
      <c r="A163" s="35" t="n">
        <v>157</v>
      </c>
      <c r="B163" s="36" t="s">
        <v>146</v>
      </c>
      <c r="C163" s="22" t="n">
        <v>190.68</v>
      </c>
      <c r="D163" s="22" t="n">
        <f aca="false">MAX(0,-C163)</f>
        <v>0</v>
      </c>
      <c r="E163" s="37" t="n">
        <f aca="false">IF($D$3=0,0,D163/$D$3)</f>
        <v>0</v>
      </c>
    </row>
    <row r="164" customFormat="false" ht="15" hidden="false" customHeight="false" outlineLevel="0" collapsed="false">
      <c r="A164" s="35" t="n">
        <v>158</v>
      </c>
      <c r="B164" s="36" t="s">
        <v>189</v>
      </c>
      <c r="C164" s="22" t="n">
        <v>196.28</v>
      </c>
      <c r="D164" s="22" t="n">
        <f aca="false">MAX(0,-C164)</f>
        <v>0</v>
      </c>
      <c r="E164" s="37" t="n">
        <f aca="false">IF($D$3=0,0,D164/$D$3)</f>
        <v>0</v>
      </c>
    </row>
    <row r="165" customFormat="false" ht="15" hidden="false" customHeight="false" outlineLevel="0" collapsed="false">
      <c r="A165" s="35" t="n">
        <v>159</v>
      </c>
      <c r="B165" s="36" t="s">
        <v>54</v>
      </c>
      <c r="C165" s="22" t="n">
        <v>205.45</v>
      </c>
      <c r="D165" s="22" t="n">
        <f aca="false">MAX(0,-C165)</f>
        <v>0</v>
      </c>
      <c r="E165" s="37" t="n">
        <f aca="false">IF($D$3=0,0,D165/$D$3)</f>
        <v>0</v>
      </c>
    </row>
    <row r="166" customFormat="false" ht="15" hidden="false" customHeight="false" outlineLevel="0" collapsed="false">
      <c r="A166" s="35" t="n">
        <v>160</v>
      </c>
      <c r="B166" s="36" t="s">
        <v>101</v>
      </c>
      <c r="C166" s="22" t="n">
        <v>206.71</v>
      </c>
      <c r="D166" s="22" t="n">
        <f aca="false">MAX(0,-C166)</f>
        <v>0</v>
      </c>
      <c r="E166" s="37" t="n">
        <f aca="false">IF($D$3=0,0,D166/$D$3)</f>
        <v>0</v>
      </c>
    </row>
    <row r="167" customFormat="false" ht="15" hidden="false" customHeight="false" outlineLevel="0" collapsed="false">
      <c r="A167" s="35" t="n">
        <v>161</v>
      </c>
      <c r="B167" s="36" t="s">
        <v>141</v>
      </c>
      <c r="C167" s="22" t="n">
        <v>212.83</v>
      </c>
      <c r="D167" s="22" t="n">
        <f aca="false">MAX(0,-C167)</f>
        <v>0</v>
      </c>
      <c r="E167" s="37" t="n">
        <f aca="false">IF($D$3=0,0,D167/$D$3)</f>
        <v>0</v>
      </c>
    </row>
    <row r="168" customFormat="false" ht="15" hidden="false" customHeight="false" outlineLevel="0" collapsed="false">
      <c r="A168" s="35" t="n">
        <v>162</v>
      </c>
      <c r="B168" s="36" t="s">
        <v>90</v>
      </c>
      <c r="C168" s="22" t="n">
        <v>249.79</v>
      </c>
      <c r="D168" s="22" t="n">
        <f aca="false">MAX(0,-C168)</f>
        <v>0</v>
      </c>
      <c r="E168" s="37" t="n">
        <f aca="false">IF($D$3=0,0,D168/$D$3)</f>
        <v>0</v>
      </c>
    </row>
    <row r="169" customFormat="false" ht="15" hidden="false" customHeight="false" outlineLevel="0" collapsed="false">
      <c r="A169" s="35" t="n">
        <v>163</v>
      </c>
      <c r="B169" s="36" t="s">
        <v>224</v>
      </c>
      <c r="C169" s="22" t="n">
        <v>298.8</v>
      </c>
      <c r="D169" s="22" t="n">
        <f aca="false">MAX(0,-C169)</f>
        <v>0</v>
      </c>
      <c r="E169" s="37" t="n">
        <f aca="false">IF($D$3=0,0,D169/$D$3)</f>
        <v>0</v>
      </c>
    </row>
    <row r="170" customFormat="false" ht="15" hidden="false" customHeight="false" outlineLevel="0" collapsed="false">
      <c r="A170" s="35" t="n">
        <v>164</v>
      </c>
      <c r="B170" s="36" t="s">
        <v>167</v>
      </c>
      <c r="C170" s="22" t="n">
        <v>317.49</v>
      </c>
      <c r="D170" s="22" t="n">
        <f aca="false">MAX(0,-C170)</f>
        <v>0</v>
      </c>
      <c r="E170" s="37" t="n">
        <f aca="false">IF($D$3=0,0,D170/$D$3)</f>
        <v>0</v>
      </c>
    </row>
    <row r="171" customFormat="false" ht="15" hidden="false" customHeight="false" outlineLevel="0" collapsed="false">
      <c r="A171" s="35" t="n">
        <v>165</v>
      </c>
      <c r="B171" s="36" t="s">
        <v>164</v>
      </c>
      <c r="C171" s="22" t="n">
        <v>317.57</v>
      </c>
      <c r="D171" s="22" t="n">
        <f aca="false">MAX(0,-C171)</f>
        <v>0</v>
      </c>
      <c r="E171" s="37" t="n">
        <f aca="false">IF($D$3=0,0,D171/$D$3)</f>
        <v>0</v>
      </c>
    </row>
    <row r="172" customFormat="false" ht="15" hidden="false" customHeight="false" outlineLevel="0" collapsed="false">
      <c r="A172" s="35" t="n">
        <v>166</v>
      </c>
      <c r="B172" s="36" t="s">
        <v>136</v>
      </c>
      <c r="C172" s="22" t="n">
        <v>335.78</v>
      </c>
      <c r="D172" s="22" t="n">
        <f aca="false">MAX(0,-C172)</f>
        <v>0</v>
      </c>
      <c r="E172" s="37" t="n">
        <f aca="false">IF($D$3=0,0,D172/$D$3)</f>
        <v>0</v>
      </c>
    </row>
    <row r="173" customFormat="false" ht="15" hidden="false" customHeight="false" outlineLevel="0" collapsed="false">
      <c r="A173" s="35" t="n">
        <v>167</v>
      </c>
      <c r="B173" s="36" t="s">
        <v>181</v>
      </c>
      <c r="C173" s="22" t="n">
        <v>423.68</v>
      </c>
      <c r="D173" s="22" t="n">
        <f aca="false">MAX(0,-C173)</f>
        <v>0</v>
      </c>
      <c r="E173" s="37" t="n">
        <f aca="false">IF($D$3=0,0,D173/$D$3)</f>
        <v>0</v>
      </c>
    </row>
    <row r="174" customFormat="false" ht="15" hidden="false" customHeight="false" outlineLevel="0" collapsed="false">
      <c r="A174" s="35" t="n">
        <v>168</v>
      </c>
      <c r="B174" s="36" t="s">
        <v>222</v>
      </c>
      <c r="C174" s="22" t="n">
        <v>504</v>
      </c>
      <c r="D174" s="22" t="n">
        <f aca="false">MAX(0,-C174)</f>
        <v>0</v>
      </c>
      <c r="E174" s="37" t="n">
        <f aca="false">IF($D$3=0,0,D174/$D$3)</f>
        <v>0</v>
      </c>
    </row>
    <row r="175" customFormat="false" ht="15" hidden="false" customHeight="false" outlineLevel="0" collapsed="false">
      <c r="A175" s="35" t="n">
        <v>169</v>
      </c>
      <c r="B175" s="36" t="s">
        <v>52</v>
      </c>
      <c r="C175" s="22" t="n">
        <v>546.12</v>
      </c>
      <c r="D175" s="22" t="n">
        <f aca="false">MAX(0,-C175)</f>
        <v>0</v>
      </c>
      <c r="E175" s="37" t="n">
        <f aca="false">IF($D$3=0,0,D175/$D$3)</f>
        <v>0</v>
      </c>
    </row>
    <row r="176" customFormat="false" ht="15" hidden="false" customHeight="false" outlineLevel="0" collapsed="false">
      <c r="A176" s="35" t="n">
        <v>170</v>
      </c>
      <c r="B176" s="36" t="s">
        <v>69</v>
      </c>
      <c r="C176" s="22" t="n">
        <v>558.8</v>
      </c>
      <c r="D176" s="22" t="n">
        <f aca="false">MAX(0,-C176)</f>
        <v>0</v>
      </c>
      <c r="E176" s="37" t="n">
        <f aca="false">IF($D$3=0,0,D176/$D$3)</f>
        <v>0</v>
      </c>
    </row>
    <row r="177" customFormat="false" ht="15" hidden="false" customHeight="false" outlineLevel="0" collapsed="false">
      <c r="A177" s="35" t="n">
        <v>171</v>
      </c>
      <c r="B177" s="36" t="s">
        <v>187</v>
      </c>
      <c r="C177" s="22" t="n">
        <v>579.9</v>
      </c>
      <c r="D177" s="22" t="n">
        <f aca="false">MAX(0,-C177)</f>
        <v>0</v>
      </c>
      <c r="E177" s="37" t="n">
        <f aca="false">IF($D$3=0,0,D177/$D$3)</f>
        <v>0</v>
      </c>
    </row>
    <row r="178" customFormat="false" ht="15" hidden="false" customHeight="false" outlineLevel="0" collapsed="false">
      <c r="A178" s="35" t="n">
        <v>172</v>
      </c>
      <c r="B178" s="36" t="s">
        <v>59</v>
      </c>
      <c r="C178" s="22" t="n">
        <v>649.46</v>
      </c>
      <c r="D178" s="22" t="n">
        <f aca="false">MAX(0,-C178)</f>
        <v>0</v>
      </c>
      <c r="E178" s="37" t="n">
        <f aca="false">IF($D$3=0,0,D178/$D$3)</f>
        <v>0</v>
      </c>
    </row>
    <row r="179" customFormat="false" ht="15" hidden="false" customHeight="false" outlineLevel="0" collapsed="false">
      <c r="A179" s="35" t="n">
        <v>173</v>
      </c>
      <c r="B179" s="36" t="s">
        <v>227</v>
      </c>
      <c r="C179" s="22" t="n">
        <v>650.92</v>
      </c>
      <c r="D179" s="22" t="n">
        <f aca="false">MAX(0,-C179)</f>
        <v>0</v>
      </c>
      <c r="E179" s="37" t="n">
        <f aca="false">IF($D$3=0,0,D179/$D$3)</f>
        <v>0</v>
      </c>
    </row>
    <row r="180" customFormat="false" ht="15" hidden="false" customHeight="false" outlineLevel="0" collapsed="false">
      <c r="A180" s="35" t="n">
        <v>174</v>
      </c>
      <c r="B180" s="36" t="s">
        <v>78</v>
      </c>
      <c r="C180" s="22" t="n">
        <v>747.08</v>
      </c>
      <c r="D180" s="22" t="n">
        <f aca="false">MAX(0,-C180)</f>
        <v>0</v>
      </c>
      <c r="E180" s="37" t="n">
        <f aca="false">IF($D$3=0,0,D180/$D$3)</f>
        <v>0</v>
      </c>
    </row>
    <row r="181" customFormat="false" ht="15" hidden="false" customHeight="false" outlineLevel="0" collapsed="false">
      <c r="A181" s="35" t="n">
        <v>175</v>
      </c>
      <c r="B181" s="36" t="s">
        <v>114</v>
      </c>
      <c r="C181" s="22" t="n">
        <v>821.56</v>
      </c>
      <c r="D181" s="22" t="n">
        <f aca="false">MAX(0,-C181)</f>
        <v>0</v>
      </c>
      <c r="E181" s="37" t="n">
        <f aca="false">IF($D$3=0,0,D181/$D$3)</f>
        <v>0</v>
      </c>
    </row>
    <row r="182" customFormat="false" ht="15" hidden="false" customHeight="false" outlineLevel="0" collapsed="false">
      <c r="A182" s="35" t="n">
        <v>176</v>
      </c>
      <c r="B182" s="36" t="s">
        <v>228</v>
      </c>
      <c r="C182" s="22" t="n">
        <v>850.65</v>
      </c>
      <c r="D182" s="22" t="n">
        <f aca="false">MAX(0,-C182)</f>
        <v>0</v>
      </c>
      <c r="E182" s="37" t="n">
        <f aca="false">IF($D$3=0,0,D182/$D$3)</f>
        <v>0</v>
      </c>
    </row>
    <row r="183" customFormat="false" ht="15" hidden="false" customHeight="false" outlineLevel="0" collapsed="false">
      <c r="A183" s="35" t="n">
        <v>177</v>
      </c>
      <c r="B183" s="36" t="s">
        <v>86</v>
      </c>
      <c r="C183" s="22" t="n">
        <v>919</v>
      </c>
      <c r="D183" s="22" t="n">
        <f aca="false">MAX(0,-C183)</f>
        <v>0</v>
      </c>
      <c r="E183" s="37" t="n">
        <f aca="false">IF($D$3=0,0,D183/$D$3)</f>
        <v>0</v>
      </c>
    </row>
    <row r="184" customFormat="false" ht="15" hidden="false" customHeight="false" outlineLevel="0" collapsed="false">
      <c r="A184" s="35" t="n">
        <v>178</v>
      </c>
      <c r="B184" s="36" t="s">
        <v>132</v>
      </c>
      <c r="C184" s="22" t="n">
        <v>1027.73</v>
      </c>
      <c r="D184" s="22" t="n">
        <f aca="false">MAX(0,-C184)</f>
        <v>0</v>
      </c>
      <c r="E184" s="37" t="n">
        <f aca="false">IF($D$3=0,0,D184/$D$3)</f>
        <v>0</v>
      </c>
    </row>
    <row r="185" customFormat="false" ht="15" hidden="false" customHeight="false" outlineLevel="0" collapsed="false">
      <c r="A185" s="35" t="n">
        <v>179</v>
      </c>
      <c r="B185" s="36" t="s">
        <v>115</v>
      </c>
      <c r="C185" s="22" t="n">
        <v>1053.9</v>
      </c>
      <c r="D185" s="22" t="n">
        <f aca="false">MAX(0,-C185)</f>
        <v>0</v>
      </c>
      <c r="E185" s="37" t="n">
        <f aca="false">IF($D$3=0,0,D185/$D$3)</f>
        <v>0</v>
      </c>
    </row>
    <row r="186" customFormat="false" ht="15" hidden="false" customHeight="false" outlineLevel="0" collapsed="false">
      <c r="A186" s="35" t="n">
        <v>180</v>
      </c>
      <c r="B186" s="36" t="s">
        <v>206</v>
      </c>
      <c r="C186" s="22" t="n">
        <v>1978.56</v>
      </c>
      <c r="D186" s="22" t="n">
        <f aca="false">MAX(0,-C186)</f>
        <v>0</v>
      </c>
      <c r="E186" s="37" t="n">
        <f aca="false">IF($D$3=0,0,D186/$D$3)</f>
        <v>0</v>
      </c>
    </row>
    <row r="187" customFormat="false" ht="15" hidden="false" customHeight="false" outlineLevel="0" collapsed="false">
      <c r="A187" s="35" t="n">
        <v>181</v>
      </c>
      <c r="B187" s="36" t="s">
        <v>205</v>
      </c>
      <c r="C187" s="22" t="n">
        <v>2014.05</v>
      </c>
      <c r="D187" s="22" t="n">
        <f aca="false">MAX(0,-C187)</f>
        <v>0</v>
      </c>
      <c r="E187" s="37" t="n">
        <f aca="false">IF($D$3=0,0,D187/$D$3)</f>
        <v>0</v>
      </c>
    </row>
    <row r="188" customFormat="false" ht="15" hidden="false" customHeight="false" outlineLevel="0" collapsed="false">
      <c r="A188" s="35" t="n">
        <v>182</v>
      </c>
      <c r="B188" s="36" t="s">
        <v>107</v>
      </c>
      <c r="C188" s="22" t="n">
        <v>2328.2</v>
      </c>
      <c r="D188" s="22" t="n">
        <f aca="false">MAX(0,-C188)</f>
        <v>0</v>
      </c>
      <c r="E188" s="37" t="n">
        <f aca="false">IF($D$3=0,0,D188/$D$3)</f>
        <v>0</v>
      </c>
    </row>
    <row r="189" customFormat="false" ht="15" hidden="false" customHeight="false" outlineLevel="0" collapsed="false">
      <c r="A189" s="35" t="n">
        <v>183</v>
      </c>
      <c r="B189" s="36" t="s">
        <v>220</v>
      </c>
      <c r="C189" s="22" t="n">
        <v>2423.25</v>
      </c>
      <c r="D189" s="22" t="n">
        <f aca="false">MAX(0,-C189)</f>
        <v>0</v>
      </c>
      <c r="E189" s="37" t="n">
        <f aca="false">IF($D$3=0,0,D189/$D$3)</f>
        <v>0</v>
      </c>
    </row>
    <row r="190" customFormat="false" ht="15" hidden="false" customHeight="false" outlineLevel="0" collapsed="false">
      <c r="A190" s="35" t="n">
        <v>184</v>
      </c>
      <c r="B190" s="36" t="s">
        <v>231</v>
      </c>
      <c r="C190" s="22" t="n">
        <v>2960.84</v>
      </c>
      <c r="D190" s="22" t="n">
        <f aca="false">MAX(0,-C190)</f>
        <v>0</v>
      </c>
      <c r="E190" s="37" t="n">
        <f aca="false">IF($D$3=0,0,D190/$D$3)</f>
        <v>0</v>
      </c>
    </row>
    <row r="191" customFormat="false" ht="15" hidden="false" customHeight="false" outlineLevel="0" collapsed="false">
      <c r="A191" s="35" t="n">
        <v>185</v>
      </c>
      <c r="B191" s="36" t="s">
        <v>127</v>
      </c>
      <c r="C191" s="22" t="n">
        <v>3847.74</v>
      </c>
      <c r="D191" s="22" t="n">
        <f aca="false">MAX(0,-C191)</f>
        <v>0</v>
      </c>
      <c r="E191" s="37" t="n">
        <f aca="false">IF($D$3=0,0,D191/$D$3)</f>
        <v>0</v>
      </c>
    </row>
    <row r="192" customFormat="false" ht="15" hidden="false" customHeight="false" outlineLevel="0" collapsed="false">
      <c r="A192" s="35" t="n">
        <v>186</v>
      </c>
      <c r="B192" s="36" t="s">
        <v>126</v>
      </c>
      <c r="C192" s="22" t="n">
        <v>4976</v>
      </c>
      <c r="D192" s="22" t="n">
        <f aca="false">MAX(0,-C192)</f>
        <v>0</v>
      </c>
      <c r="E192" s="37" t="n">
        <f aca="false">IF($D$3=0,0,D192/$D$3)</f>
        <v>0</v>
      </c>
    </row>
    <row r="193" customFormat="false" ht="15" hidden="false" customHeight="false" outlineLevel="0" collapsed="false">
      <c r="A193" s="35" t="n">
        <v>187</v>
      </c>
      <c r="B193" s="36" t="s">
        <v>226</v>
      </c>
      <c r="C193" s="22" t="n">
        <v>5503</v>
      </c>
      <c r="D193" s="22" t="n">
        <f aca="false">MAX(0,-C193)</f>
        <v>0</v>
      </c>
      <c r="E193" s="37" t="n">
        <f aca="false">IF($D$3=0,0,D193/$D$3)</f>
        <v>0</v>
      </c>
    </row>
    <row r="194" customFormat="false" ht="15" hidden="false" customHeight="false" outlineLevel="0" collapsed="false">
      <c r="A194" s="35" t="n">
        <v>188</v>
      </c>
      <c r="B194" s="36" t="s">
        <v>75</v>
      </c>
      <c r="C194" s="22" t="n">
        <v>8533.46</v>
      </c>
      <c r="D194" s="22" t="n">
        <f aca="false">MAX(0,-C194)</f>
        <v>0</v>
      </c>
      <c r="E194" s="37" t="n">
        <f aca="false">IF($D$3=0,0,D194/$D$3)</f>
        <v>0</v>
      </c>
    </row>
    <row r="195" customFormat="false" ht="15" hidden="false" customHeight="false" outlineLevel="0" collapsed="false">
      <c r="A195" s="35" t="n">
        <v>189</v>
      </c>
      <c r="B195" s="36" t="s">
        <v>188</v>
      </c>
      <c r="C195" s="22" t="n">
        <v>18505.47</v>
      </c>
      <c r="D195" s="22" t="n">
        <f aca="false">MAX(0,-C195)</f>
        <v>0</v>
      </c>
      <c r="E195" s="37" t="n">
        <f aca="false">IF($D$3=0,0,D195/$D$3)</f>
        <v>0</v>
      </c>
    </row>
    <row r="196" customFormat="false" ht="15" hidden="false" customHeight="false" outlineLevel="0" collapsed="false">
      <c r="A196" s="35" t="n">
        <v>190</v>
      </c>
      <c r="B196" s="36" t="s">
        <v>79</v>
      </c>
      <c r="C196" s="22" t="n">
        <v>46930.45</v>
      </c>
      <c r="D196" s="22" t="n">
        <f aca="false">MAX(0,-C196)</f>
        <v>0</v>
      </c>
      <c r="E196" s="37" t="n">
        <f aca="false">IF($D$3=0,0,D196/$D$3)</f>
        <v>0</v>
      </c>
    </row>
    <row r="198" customFormat="false" ht="15" hidden="false" customHeight="false" outlineLevel="0" collapsed="false">
      <c r="A198" s="38" t="s">
        <v>242</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2026-09-13T20:49:33Z</dcterms:created>
  <dc:creator>openpyxl</dc:creator>
  <dc:description/>
  <dc:language>en-US</dc:language>
  <cp:lastModifiedBy/>
  <dcterms:modified xsi:type="dcterms:W3CDTF">2026-09-13T20:49:35Z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